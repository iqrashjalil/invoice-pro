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60" yWindow="15" windowWidth="19425" windowHeight="9720"/>
  </bookViews>
  <sheets>
    <sheet name="Sheet1" sheetId="2" r:id="rId1"/>
    <sheet name="Sheet2" sheetId="3" r:id="rId2"/>
    <sheet name="Sheet3" sheetId="4" r:id="rId3"/>
  </sheets>
  <calcPr calcId="144525"/>
</workbook>
</file>

<file path=xl/calcChain.xml><?xml version="1.0" encoding="utf-8"?>
<calcChain xmlns="http://schemas.openxmlformats.org/spreadsheetml/2006/main">
  <c r="J50" i="2" l="1"/>
  <c r="J51" i="2"/>
  <c r="J52" i="2"/>
  <c r="J53" i="2"/>
  <c r="J54" i="2"/>
  <c r="J55" i="2"/>
  <c r="J30" i="2" l="1"/>
  <c r="J9" i="2" l="1"/>
  <c r="J15" i="2"/>
  <c r="J24" i="2"/>
  <c r="J8" i="2"/>
  <c r="J27" i="2"/>
  <c r="J19" i="2"/>
  <c r="J10" i="2"/>
  <c r="J44" i="2"/>
  <c r="J14" i="2"/>
  <c r="J31" i="2"/>
  <c r="J29" i="2"/>
  <c r="J40" i="2"/>
  <c r="J41" i="2"/>
  <c r="J39" i="2"/>
  <c r="J12" i="2"/>
  <c r="J23" i="2"/>
  <c r="J38" i="2"/>
  <c r="J6" i="2"/>
  <c r="J21" i="2"/>
  <c r="J45" i="2" l="1"/>
  <c r="J11" i="2"/>
  <c r="J20" i="2"/>
  <c r="J26" i="2"/>
  <c r="J17" i="2"/>
  <c r="J7" i="2"/>
  <c r="J28" i="2" l="1"/>
  <c r="J34" i="2" l="1"/>
  <c r="J48" i="2" l="1"/>
  <c r="J43" i="2"/>
  <c r="J16" i="2"/>
  <c r="J25" i="2"/>
  <c r="J49" i="2"/>
  <c r="J47" i="2"/>
  <c r="J42" i="2"/>
  <c r="J32" i="2"/>
  <c r="J37" i="2"/>
  <c r="J46" i="2"/>
  <c r="J18" i="2"/>
  <c r="J22" i="2"/>
  <c r="J33" i="2"/>
  <c r="J13" i="2"/>
  <c r="J36" i="2"/>
  <c r="J35" i="2"/>
</calcChain>
</file>

<file path=xl/sharedStrings.xml><?xml version="1.0" encoding="utf-8"?>
<sst xmlns="http://schemas.openxmlformats.org/spreadsheetml/2006/main" count="162" uniqueCount="15">
  <si>
    <t>Mumtaz Brothers</t>
  </si>
  <si>
    <t>Sale Report - Langnese</t>
  </si>
  <si>
    <t>Invoice No</t>
  </si>
  <si>
    <t>Date</t>
  </si>
  <si>
    <t>NTN</t>
  </si>
  <si>
    <t>Quantity</t>
  </si>
  <si>
    <t>Exclusive</t>
  </si>
  <si>
    <t>Sales tax</t>
  </si>
  <si>
    <t>%</t>
  </si>
  <si>
    <t>4269497-3</t>
  </si>
  <si>
    <t>ZUBAIDA ASSOCIATES</t>
  </si>
  <si>
    <t>Quantity-A</t>
  </si>
  <si>
    <t>Code</t>
  </si>
  <si>
    <t>Name</t>
  </si>
  <si>
    <t>1517.9000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</si>
</sst>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d/mmm/yy;@"/>
    <numFmt numFmtId="170" formatCode="_-* #,##0.00_-;\-* #,##0.00_-;_-* &quot;-&quot;??_-;_-@_-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4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2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43" fontId="4" fillId="0" borderId="0" applyFont="0" applyFill="0" applyBorder="0" applyProtection="0"/>
    <xf numFmtId="0" fontId="3" fillId="0" borderId="0"/>
    <xf numFmtId="0" fontId="5" fillId="0" borderId="0"/>
    <xf numFmtId="170" fontId="5" fillId="0" borderId="0" applyFont="0" applyFill="0" applyBorder="0" applyAlignment="0" applyProtection="0"/>
  </cellStyleXfs>
  <cellXfs count="26">
    <xf numFmtId="0" fontId="0" fillId="0" borderId="0" xfId="0"/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0" xfId="0" applyFont="1"/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/>
    <xf numFmtId="43" fontId="10" fillId="2" borderId="1" xfId="1" applyNumberFormat="1" applyFont="1" applyFill="1" applyBorder="1" applyAlignment="1">
      <alignment horizontal="center"/>
    </xf>
    <xf numFmtId="49" fontId="9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43" fontId="9" fillId="2" borderId="1" xfId="1" applyNumberFormat="1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9" fillId="0" borderId="0" xfId="0" applyFont="1"/>
    <xf numFmtId="0" fontId="12" fillId="0" borderId="0" xfId="0" applyFont="1"/>
    <xf numFmtId="0" fontId="13" fillId="0" borderId="0" xfId="0" applyFont="1"/>
    <xf numFmtId="43" fontId="11" fillId="3" borderId="3" xfId="1" applyFont="1" applyFill="1" applyBorder="1"/>
    <xf numFmtId="43" fontId="0" fillId="0" borderId="0" xfId="0" applyNumberFormat="1"/>
    <xf numFmtId="4" fontId="2" fillId="0" borderId="1" xfId="0" applyNumberFormat="1" applyFont="1" applyBorder="1"/>
    <xf numFmtId="4" fontId="0" fillId="0" borderId="0" xfId="0" applyNumberFormat="1"/>
    <xf numFmtId="4" fontId="1" fillId="0" borderId="1" xfId="0" applyNumberFormat="1" applyFont="1" applyBorder="1"/>
    <xf numFmtId="43" fontId="11" fillId="4" borderId="3" xfId="1" applyFont="1" applyFill="1" applyBorder="1"/>
    <xf numFmtId="43" fontId="14" fillId="4" borderId="1" xfId="1" applyNumberFormat="1" applyFont="1" applyFill="1" applyBorder="1" applyAlignment="1">
      <alignment horizontal="center"/>
    </xf>
    <xf numFmtId="49" fontId="9" fillId="4" borderId="1" xfId="0" applyNumberFormat="1" applyFont="1" applyFill="1" applyBorder="1" applyAlignment="1">
      <alignment horizontal="center"/>
    </xf>
    <xf numFmtId="4" fontId="5" fillId="0" borderId="2" xfId="3" applyNumberFormat="1" applyFont="1" applyBorder="1"/>
  </cellXfs>
  <cellStyles count="5">
    <cellStyle name="Comma" xfId="1" builtinId="3"/>
    <cellStyle name="Comma 2" xfId="4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56"/>
  <sheetViews>
    <sheetView tabSelected="1" topLeftCell="A28" workbookViewId="0">
      <selection activeCell="H58" sqref="H58"/>
    </sheetView>
  </sheetViews>
  <sheetFormatPr defaultRowHeight="18" customHeight="1" x14ac:dyDescent="0.25"/>
  <cols>
    <col min="2" max="2" width="11.5703125" customWidth="1"/>
    <col min="3" max="3" width="10.42578125" bestFit="1" customWidth="1"/>
    <col min="4" max="4" width="10.5703125" bestFit="1" customWidth="1"/>
    <col min="5" max="5" width="21.140625" bestFit="1" customWidth="1"/>
    <col min="6" max="6" width="9.42578125" bestFit="1" customWidth="1"/>
    <col min="7" max="7" width="9.42578125" customWidth="1"/>
    <col min="8" max="8" width="15.5703125" bestFit="1" customWidth="1"/>
    <col min="9" max="9" width="14" style="3" bestFit="1" customWidth="1"/>
    <col min="10" max="10" width="10" customWidth="1"/>
    <col min="11" max="11" width="9.5703125" bestFit="1" customWidth="1"/>
  </cols>
  <sheetData>
    <row r="2" spans="2:11" ht="18" customHeight="1" x14ac:dyDescent="0.25">
      <c r="B2" t="s">
        <v>0</v>
      </c>
    </row>
    <row r="3" spans="2:11" ht="18" customHeight="1" x14ac:dyDescent="0.25">
      <c r="B3" t="s">
        <v>1</v>
      </c>
    </row>
    <row r="5" spans="2:11" ht="18" customHeight="1" thickBot="1" x14ac:dyDescent="0.3">
      <c r="B5" s="4" t="s">
        <v>2</v>
      </c>
      <c r="C5" s="4" t="s">
        <v>3</v>
      </c>
      <c r="D5" s="4" t="s">
        <v>4</v>
      </c>
      <c r="E5" s="4" t="s">
        <v>13</v>
      </c>
      <c r="F5" s="5" t="s">
        <v>5</v>
      </c>
      <c r="G5" s="4" t="s">
        <v>11</v>
      </c>
      <c r="H5" s="4" t="s">
        <v>6</v>
      </c>
      <c r="I5" s="2" t="s">
        <v>7</v>
      </c>
      <c r="J5" s="5" t="s">
        <v>8</v>
      </c>
      <c r="K5" s="6" t="s">
        <v>12</v>
      </c>
    </row>
    <row r="6" spans="2:11" ht="18" customHeight="1" thickBot="1" x14ac:dyDescent="0.3">
      <c r="B6">
        <v>483</v>
      </c>
      <c r="C6" s="13">
        <v>45958</v>
      </c>
      <c r="D6" s="10" t="s">
        <v>9</v>
      </c>
      <c r="E6" s="11" t="s">
        <v>10</v>
      </c>
      <c r="F6" s="7">
        <v>30</v>
      </c>
      <c r="G6" s="17">
        <v>0</v>
      </c>
      <c r="H6" s="19">
        <v>23135.59</v>
      </c>
      <c r="I6" s="19">
        <v>4164.41</v>
      </c>
      <c r="J6" s="8">
        <f t="shared" ref="J6:J56" si="0">I6*100/H6</f>
        <v>18.000016424910712</v>
      </c>
      <c r="K6" s="9" t="s">
        <v>14</v>
      </c>
    </row>
    <row r="7" spans="2:11" ht="18" customHeight="1" thickBot="1" x14ac:dyDescent="0.3">
      <c r="B7" s="7">
        <v>484</v>
      </c>
      <c r="C7" s="13">
        <v>45958</v>
      </c>
      <c r="D7" s="10" t="s">
        <v>9</v>
      </c>
      <c r="E7" s="11" t="s">
        <v>10</v>
      </c>
      <c r="F7" s="7">
        <v>32</v>
      </c>
      <c r="G7" s="17">
        <v>0</v>
      </c>
      <c r="H7" s="19">
        <v>23474.58</v>
      </c>
      <c r="I7" s="19">
        <v>4225.42</v>
      </c>
      <c r="J7" s="12">
        <f t="shared" si="0"/>
        <v>17.999981256320666</v>
      </c>
      <c r="K7" s="9" t="s">
        <v>14</v>
      </c>
    </row>
    <row r="8" spans="2:11" ht="18" customHeight="1" thickBot="1" x14ac:dyDescent="0.3">
      <c r="B8" s="7">
        <v>485</v>
      </c>
      <c r="C8" s="13">
        <v>45958</v>
      </c>
      <c r="D8" s="10" t="s">
        <v>9</v>
      </c>
      <c r="E8" s="11" t="s">
        <v>10</v>
      </c>
      <c r="F8" s="7">
        <v>241</v>
      </c>
      <c r="G8" s="17">
        <v>0</v>
      </c>
      <c r="H8" s="19">
        <v>1703270.3999999999</v>
      </c>
      <c r="I8" s="19">
        <v>425817.59999999998</v>
      </c>
      <c r="J8" s="8">
        <f t="shared" si="0"/>
        <v>25</v>
      </c>
      <c r="K8" s="9" t="s">
        <v>14</v>
      </c>
    </row>
    <row r="9" spans="2:11" ht="18" customHeight="1" thickBot="1" x14ac:dyDescent="0.3">
      <c r="B9" s="7">
        <v>481</v>
      </c>
      <c r="C9" s="13">
        <v>45957</v>
      </c>
      <c r="D9" s="10" t="s">
        <v>9</v>
      </c>
      <c r="E9" s="11" t="s">
        <v>10</v>
      </c>
      <c r="F9" s="7">
        <v>24</v>
      </c>
      <c r="G9" s="17">
        <v>0</v>
      </c>
      <c r="H9" s="19">
        <v>16601.689999999999</v>
      </c>
      <c r="I9" s="19">
        <v>2988.31</v>
      </c>
      <c r="J9" s="8">
        <f t="shared" si="0"/>
        <v>18.00003493620228</v>
      </c>
      <c r="K9" s="9" t="s">
        <v>14</v>
      </c>
    </row>
    <row r="10" spans="2:11" ht="18" customHeight="1" thickBot="1" x14ac:dyDescent="0.3">
      <c r="B10" s="7">
        <v>482</v>
      </c>
      <c r="C10" s="13">
        <v>45957</v>
      </c>
      <c r="D10" s="10" t="s">
        <v>9</v>
      </c>
      <c r="E10" s="11" t="s">
        <v>10</v>
      </c>
      <c r="F10" s="7">
        <v>50</v>
      </c>
      <c r="G10" s="17">
        <v>0</v>
      </c>
      <c r="H10" s="19">
        <v>254400</v>
      </c>
      <c r="I10" s="19">
        <v>63600</v>
      </c>
      <c r="J10" s="8">
        <f t="shared" si="0"/>
        <v>25</v>
      </c>
      <c r="K10" s="9" t="s">
        <v>14</v>
      </c>
    </row>
    <row r="11" spans="2:11" ht="18" customHeight="1" thickBot="1" x14ac:dyDescent="0.3">
      <c r="B11" s="7">
        <v>480</v>
      </c>
      <c r="C11" s="13">
        <v>45957</v>
      </c>
      <c r="D11" s="10" t="s">
        <v>9</v>
      </c>
      <c r="E11" s="11" t="s">
        <v>10</v>
      </c>
      <c r="F11" s="7">
        <v>105</v>
      </c>
      <c r="G11" s="17">
        <v>0</v>
      </c>
      <c r="H11" s="19">
        <v>729360</v>
      </c>
      <c r="I11" s="19">
        <v>182340</v>
      </c>
      <c r="J11" s="12">
        <f t="shared" si="0"/>
        <v>25</v>
      </c>
      <c r="K11" s="9" t="s">
        <v>14</v>
      </c>
    </row>
    <row r="12" spans="2:11" s="1" customFormat="1" ht="18" customHeight="1" thickBot="1" x14ac:dyDescent="0.3">
      <c r="B12" s="7">
        <v>479</v>
      </c>
      <c r="C12" s="13">
        <v>45954</v>
      </c>
      <c r="D12" s="10" t="s">
        <v>9</v>
      </c>
      <c r="E12" s="11" t="s">
        <v>10</v>
      </c>
      <c r="F12" s="7">
        <v>3</v>
      </c>
      <c r="G12" s="17">
        <v>0</v>
      </c>
      <c r="H12" s="19">
        <v>2313.56</v>
      </c>
      <c r="I12" s="7">
        <v>416.44</v>
      </c>
      <c r="J12" s="8">
        <f t="shared" si="0"/>
        <v>17.999965421255556</v>
      </c>
      <c r="K12" s="9" t="s">
        <v>14</v>
      </c>
    </row>
    <row r="13" spans="2:11" s="1" customFormat="1" ht="18" customHeight="1" thickBot="1" x14ac:dyDescent="0.3">
      <c r="B13" s="7">
        <v>477</v>
      </c>
      <c r="C13" s="13">
        <v>45953</v>
      </c>
      <c r="D13" s="10" t="s">
        <v>9</v>
      </c>
      <c r="E13" s="11" t="s">
        <v>10</v>
      </c>
      <c r="F13" s="7">
        <v>82</v>
      </c>
      <c r="G13" s="17">
        <v>0</v>
      </c>
      <c r="H13" s="19">
        <v>68686.44</v>
      </c>
      <c r="I13" s="19">
        <v>12363.56</v>
      </c>
      <c r="J13" s="8">
        <f t="shared" si="0"/>
        <v>18.000001164713151</v>
      </c>
      <c r="K13" s="9" t="s">
        <v>14</v>
      </c>
    </row>
    <row r="14" spans="2:11" s="1" customFormat="1" ht="18" customHeight="1" thickBot="1" x14ac:dyDescent="0.3">
      <c r="B14" s="7">
        <v>478</v>
      </c>
      <c r="C14" s="13">
        <v>45953</v>
      </c>
      <c r="D14" s="10" t="s">
        <v>9</v>
      </c>
      <c r="E14" s="11" t="s">
        <v>10</v>
      </c>
      <c r="F14" s="7">
        <v>24</v>
      </c>
      <c r="G14" s="17">
        <v>0</v>
      </c>
      <c r="H14" s="19">
        <v>20771.189999999999</v>
      </c>
      <c r="I14" s="19">
        <v>3738.81</v>
      </c>
      <c r="J14" s="8">
        <f t="shared" si="0"/>
        <v>17.99997977968523</v>
      </c>
      <c r="K14" s="9" t="s">
        <v>14</v>
      </c>
    </row>
    <row r="15" spans="2:11" s="14" customFormat="1" ht="18" customHeight="1" thickBot="1" x14ac:dyDescent="0.3">
      <c r="B15" s="7">
        <v>475</v>
      </c>
      <c r="C15" s="13">
        <v>45953</v>
      </c>
      <c r="D15" s="10" t="s">
        <v>9</v>
      </c>
      <c r="E15" s="11" t="s">
        <v>10</v>
      </c>
      <c r="F15" s="7">
        <v>100</v>
      </c>
      <c r="G15" s="17">
        <v>0</v>
      </c>
      <c r="H15" s="19">
        <v>87237.29</v>
      </c>
      <c r="I15" s="19">
        <v>15702.71</v>
      </c>
      <c r="J15" s="8">
        <f t="shared" si="0"/>
        <v>17.999997478142664</v>
      </c>
      <c r="K15" s="9" t="s">
        <v>14</v>
      </c>
    </row>
    <row r="16" spans="2:11" ht="18" customHeight="1" thickBot="1" x14ac:dyDescent="0.3">
      <c r="B16" s="7">
        <v>476</v>
      </c>
      <c r="C16" s="13">
        <v>45953</v>
      </c>
      <c r="D16" s="10" t="s">
        <v>9</v>
      </c>
      <c r="E16" s="11" t="s">
        <v>10</v>
      </c>
      <c r="F16" s="7">
        <v>18</v>
      </c>
      <c r="G16" s="17">
        <v>0</v>
      </c>
      <c r="H16" s="19">
        <v>17694.919999999998</v>
      </c>
      <c r="I16" s="19">
        <v>3185.08</v>
      </c>
      <c r="J16" s="8">
        <f t="shared" si="0"/>
        <v>17.999968352498911</v>
      </c>
      <c r="K16" s="9" t="s">
        <v>14</v>
      </c>
    </row>
    <row r="17" spans="2:11" ht="18" customHeight="1" thickBot="1" x14ac:dyDescent="0.3">
      <c r="B17" s="7">
        <v>473</v>
      </c>
      <c r="C17" s="13">
        <v>45952</v>
      </c>
      <c r="D17" s="10" t="s">
        <v>9</v>
      </c>
      <c r="E17" s="11" t="s">
        <v>10</v>
      </c>
      <c r="F17" s="7">
        <v>124</v>
      </c>
      <c r="G17" s="17">
        <v>0</v>
      </c>
      <c r="H17" s="19">
        <v>91415.25</v>
      </c>
      <c r="I17" s="19">
        <v>16454.75</v>
      </c>
      <c r="J17" s="12">
        <f t="shared" si="0"/>
        <v>18.000005469546931</v>
      </c>
      <c r="K17" s="9" t="s">
        <v>14</v>
      </c>
    </row>
    <row r="18" spans="2:11" ht="18" customHeight="1" thickBot="1" x14ac:dyDescent="0.3">
      <c r="B18" s="7">
        <v>474</v>
      </c>
      <c r="C18" s="13">
        <v>45953</v>
      </c>
      <c r="D18" s="10" t="s">
        <v>9</v>
      </c>
      <c r="E18" s="11" t="s">
        <v>10</v>
      </c>
      <c r="F18" s="7">
        <v>2621</v>
      </c>
      <c r="G18" s="17">
        <v>0</v>
      </c>
      <c r="H18" s="19">
        <v>2528457.63</v>
      </c>
      <c r="I18" s="19">
        <v>455122.37</v>
      </c>
      <c r="J18" s="8">
        <f t="shared" si="0"/>
        <v>17.999999865530672</v>
      </c>
      <c r="K18" s="9" t="s">
        <v>14</v>
      </c>
    </row>
    <row r="19" spans="2:11" ht="18" customHeight="1" thickBot="1" x14ac:dyDescent="0.3">
      <c r="B19" s="7">
        <v>472</v>
      </c>
      <c r="C19" s="13">
        <v>45951</v>
      </c>
      <c r="D19" s="10" t="s">
        <v>9</v>
      </c>
      <c r="E19" s="11" t="s">
        <v>10</v>
      </c>
      <c r="F19" s="7">
        <v>24</v>
      </c>
      <c r="G19" s="17">
        <v>0</v>
      </c>
      <c r="H19" s="19">
        <v>15966.1</v>
      </c>
      <c r="I19" s="19">
        <v>2873.9</v>
      </c>
      <c r="J19" s="8">
        <f t="shared" si="0"/>
        <v>18.000012526540608</v>
      </c>
      <c r="K19" s="9" t="s">
        <v>14</v>
      </c>
    </row>
    <row r="20" spans="2:11" ht="18" customHeight="1" thickBot="1" x14ac:dyDescent="0.3">
      <c r="B20" s="7">
        <v>471</v>
      </c>
      <c r="C20" s="13">
        <v>45951</v>
      </c>
      <c r="D20" s="10" t="s">
        <v>9</v>
      </c>
      <c r="E20" s="11" t="s">
        <v>10</v>
      </c>
      <c r="F20" s="7">
        <v>33</v>
      </c>
      <c r="G20" s="17">
        <v>0</v>
      </c>
      <c r="H20" s="19">
        <v>28728.81</v>
      </c>
      <c r="I20" s="19">
        <v>5171.1899999999996</v>
      </c>
      <c r="J20" s="12">
        <f t="shared" si="0"/>
        <v>18.000014619470836</v>
      </c>
      <c r="K20" s="9" t="s">
        <v>14</v>
      </c>
    </row>
    <row r="21" spans="2:11" s="15" customFormat="1" ht="18" customHeight="1" thickBot="1" x14ac:dyDescent="0.3">
      <c r="B21" s="7">
        <v>469</v>
      </c>
      <c r="C21" s="13">
        <v>45951</v>
      </c>
      <c r="D21" s="10" t="s">
        <v>9</v>
      </c>
      <c r="E21" s="11" t="s">
        <v>10</v>
      </c>
      <c r="F21" s="7">
        <v>18</v>
      </c>
      <c r="G21" s="17">
        <v>0</v>
      </c>
      <c r="H21" s="19">
        <v>11974.58</v>
      </c>
      <c r="I21" s="19">
        <v>2155.42</v>
      </c>
      <c r="J21" s="8">
        <f t="shared" si="0"/>
        <v>17.999963255496226</v>
      </c>
      <c r="K21" s="9" t="s">
        <v>14</v>
      </c>
    </row>
    <row r="22" spans="2:11" s="15" customFormat="1" ht="18" customHeight="1" thickBot="1" x14ac:dyDescent="0.3">
      <c r="B22" s="7">
        <v>470</v>
      </c>
      <c r="C22" s="13">
        <v>45951</v>
      </c>
      <c r="D22" s="10" t="s">
        <v>9</v>
      </c>
      <c r="E22" s="11" t="s">
        <v>10</v>
      </c>
      <c r="F22" s="7">
        <v>42</v>
      </c>
      <c r="G22" s="17">
        <v>0</v>
      </c>
      <c r="H22" s="19">
        <v>30762.71</v>
      </c>
      <c r="I22" s="19">
        <v>5537.29</v>
      </c>
      <c r="J22" s="8">
        <f t="shared" si="0"/>
        <v>18.000007151515586</v>
      </c>
      <c r="K22" s="9" t="s">
        <v>14</v>
      </c>
    </row>
    <row r="23" spans="2:11" s="15" customFormat="1" ht="18" customHeight="1" thickBot="1" x14ac:dyDescent="0.3">
      <c r="B23" s="7">
        <v>467</v>
      </c>
      <c r="C23" s="13">
        <v>45948</v>
      </c>
      <c r="D23" s="10" t="s">
        <v>9</v>
      </c>
      <c r="E23" s="11" t="s">
        <v>10</v>
      </c>
      <c r="F23" s="7">
        <v>780</v>
      </c>
      <c r="G23" s="17">
        <v>0</v>
      </c>
      <c r="H23" s="19">
        <v>501355.93</v>
      </c>
      <c r="I23" s="19">
        <v>90244.07</v>
      </c>
      <c r="J23" s="8">
        <f t="shared" si="0"/>
        <v>18.000000518593648</v>
      </c>
      <c r="K23" s="9" t="s">
        <v>14</v>
      </c>
    </row>
    <row r="24" spans="2:11" s="15" customFormat="1" ht="18" customHeight="1" thickBot="1" x14ac:dyDescent="0.3">
      <c r="B24" s="7">
        <v>468</v>
      </c>
      <c r="C24" s="13">
        <v>45951</v>
      </c>
      <c r="D24" s="10" t="s">
        <v>9</v>
      </c>
      <c r="E24" s="11" t="s">
        <v>10</v>
      </c>
      <c r="F24" s="7">
        <v>21</v>
      </c>
      <c r="G24" s="17">
        <v>0</v>
      </c>
      <c r="H24" s="19">
        <v>18775.419999999998</v>
      </c>
      <c r="I24" s="19">
        <v>3379.58</v>
      </c>
      <c r="J24" s="8">
        <f t="shared" si="0"/>
        <v>18.000023434895201</v>
      </c>
      <c r="K24" s="9" t="s">
        <v>14</v>
      </c>
    </row>
    <row r="25" spans="2:11" ht="18" customHeight="1" thickBot="1" x14ac:dyDescent="0.3">
      <c r="B25" s="7">
        <v>466</v>
      </c>
      <c r="C25" s="13">
        <v>45948</v>
      </c>
      <c r="D25" s="10" t="s">
        <v>9</v>
      </c>
      <c r="E25" s="11" t="s">
        <v>10</v>
      </c>
      <c r="F25" s="7">
        <v>56</v>
      </c>
      <c r="G25" s="17">
        <v>0</v>
      </c>
      <c r="H25" s="19">
        <v>40898.31</v>
      </c>
      <c r="I25" s="19">
        <v>7361.69</v>
      </c>
      <c r="J25" s="12">
        <f t="shared" si="0"/>
        <v>17.999985818484923</v>
      </c>
      <c r="K25" s="9" t="s">
        <v>14</v>
      </c>
    </row>
    <row r="26" spans="2:11" ht="18" customHeight="1" thickBot="1" x14ac:dyDescent="0.3">
      <c r="B26" s="7">
        <v>464</v>
      </c>
      <c r="C26" s="13">
        <v>45946</v>
      </c>
      <c r="D26" s="10" t="s">
        <v>9</v>
      </c>
      <c r="E26" s="11" t="s">
        <v>10</v>
      </c>
      <c r="F26" s="7">
        <v>2002</v>
      </c>
      <c r="G26" s="17">
        <v>0</v>
      </c>
      <c r="H26" s="19">
        <v>3139157.63</v>
      </c>
      <c r="I26" s="19">
        <v>565048.37</v>
      </c>
      <c r="J26" s="12">
        <f t="shared" si="0"/>
        <v>17.999999891690688</v>
      </c>
      <c r="K26" s="9" t="s">
        <v>14</v>
      </c>
    </row>
    <row r="27" spans="2:11" ht="18" customHeight="1" thickBot="1" x14ac:dyDescent="0.3">
      <c r="B27" s="7">
        <v>465</v>
      </c>
      <c r="C27" s="13">
        <v>45947</v>
      </c>
      <c r="D27" s="10" t="s">
        <v>9</v>
      </c>
      <c r="E27" s="11" t="s">
        <v>10</v>
      </c>
      <c r="F27" s="7">
        <v>36</v>
      </c>
      <c r="G27" s="17">
        <v>0</v>
      </c>
      <c r="H27" s="19">
        <v>28322.03</v>
      </c>
      <c r="I27" s="19">
        <v>5097.97</v>
      </c>
      <c r="J27" s="8">
        <f t="shared" si="0"/>
        <v>18.000016241773629</v>
      </c>
      <c r="K27" s="9" t="s">
        <v>14</v>
      </c>
    </row>
    <row r="28" spans="2:11" ht="18" customHeight="1" thickBot="1" x14ac:dyDescent="0.3">
      <c r="B28" s="7">
        <v>462</v>
      </c>
      <c r="C28" s="13">
        <v>45946</v>
      </c>
      <c r="D28" s="10" t="s">
        <v>9</v>
      </c>
      <c r="E28" s="11" t="s">
        <v>10</v>
      </c>
      <c r="F28" s="7">
        <v>60</v>
      </c>
      <c r="G28" s="17">
        <v>0</v>
      </c>
      <c r="H28" s="19">
        <v>44720.34</v>
      </c>
      <c r="I28" s="19">
        <v>8049.66</v>
      </c>
      <c r="J28" s="8">
        <f t="shared" si="0"/>
        <v>17.999997316657254</v>
      </c>
      <c r="K28" s="9" t="s">
        <v>14</v>
      </c>
    </row>
    <row r="29" spans="2:11" ht="18" customHeight="1" thickBot="1" x14ac:dyDescent="0.3">
      <c r="B29" s="7">
        <v>463</v>
      </c>
      <c r="C29" s="13">
        <v>45946</v>
      </c>
      <c r="D29" s="10" t="s">
        <v>9</v>
      </c>
      <c r="E29" s="11" t="s">
        <v>10</v>
      </c>
      <c r="F29" s="7">
        <v>145</v>
      </c>
      <c r="G29" s="17">
        <v>0</v>
      </c>
      <c r="H29" s="19">
        <v>981920</v>
      </c>
      <c r="I29" s="20">
        <v>245480</v>
      </c>
      <c r="J29" s="8">
        <f t="shared" si="0"/>
        <v>25</v>
      </c>
      <c r="K29" s="9" t="s">
        <v>14</v>
      </c>
    </row>
    <row r="30" spans="2:11" ht="18" customHeight="1" thickBot="1" x14ac:dyDescent="0.3">
      <c r="B30" s="7">
        <v>460</v>
      </c>
      <c r="C30" s="13">
        <v>45946</v>
      </c>
      <c r="D30" s="10" t="s">
        <v>9</v>
      </c>
      <c r="E30" s="11" t="s">
        <v>10</v>
      </c>
      <c r="F30" s="7">
        <v>24</v>
      </c>
      <c r="G30" s="17">
        <v>0</v>
      </c>
      <c r="H30" s="19">
        <v>18152.54</v>
      </c>
      <c r="I30" s="19">
        <v>3267.46</v>
      </c>
      <c r="J30" s="12">
        <f t="shared" si="0"/>
        <v>18.000015424838615</v>
      </c>
      <c r="K30" s="9" t="s">
        <v>14</v>
      </c>
    </row>
    <row r="31" spans="2:11" s="14" customFormat="1" ht="18" customHeight="1" thickBot="1" x14ac:dyDescent="0.3">
      <c r="B31" s="7">
        <v>461</v>
      </c>
      <c r="C31" s="13">
        <v>45946</v>
      </c>
      <c r="D31" s="10" t="s">
        <v>9</v>
      </c>
      <c r="E31" s="11" t="s">
        <v>10</v>
      </c>
      <c r="F31" s="7">
        <v>18</v>
      </c>
      <c r="G31" s="17">
        <v>0</v>
      </c>
      <c r="H31" s="19">
        <v>14161.02</v>
      </c>
      <c r="I31" s="19">
        <v>2548.98</v>
      </c>
      <c r="J31" s="8">
        <f t="shared" si="0"/>
        <v>17.999974578102425</v>
      </c>
      <c r="K31" s="9" t="s">
        <v>14</v>
      </c>
    </row>
    <row r="32" spans="2:11" s="14" customFormat="1" ht="18" customHeight="1" thickBot="1" x14ac:dyDescent="0.3">
      <c r="B32" s="7">
        <v>459</v>
      </c>
      <c r="C32" s="13">
        <v>45946</v>
      </c>
      <c r="D32" s="10" t="s">
        <v>9</v>
      </c>
      <c r="E32" s="11" t="s">
        <v>10</v>
      </c>
      <c r="F32" s="7">
        <v>20</v>
      </c>
      <c r="G32" s="17">
        <v>0</v>
      </c>
      <c r="H32" s="19">
        <v>13305.08</v>
      </c>
      <c r="I32" s="19">
        <v>2394.92</v>
      </c>
      <c r="J32" s="8">
        <f t="shared" si="0"/>
        <v>18.000042089186987</v>
      </c>
      <c r="K32" s="9" t="s">
        <v>14</v>
      </c>
    </row>
    <row r="33" spans="2:12" s="16" customFormat="1" ht="18" customHeight="1" thickBot="1" x14ac:dyDescent="0.3">
      <c r="B33" s="7">
        <v>458</v>
      </c>
      <c r="C33" s="13">
        <v>45944</v>
      </c>
      <c r="D33" s="10" t="s">
        <v>9</v>
      </c>
      <c r="E33" s="11" t="s">
        <v>10</v>
      </c>
      <c r="F33" s="7">
        <v>82</v>
      </c>
      <c r="G33" s="17">
        <v>0</v>
      </c>
      <c r="H33" s="19">
        <v>67254.240000000005</v>
      </c>
      <c r="I33" s="19">
        <v>12105.76</v>
      </c>
      <c r="J33" s="8">
        <f t="shared" si="0"/>
        <v>17.999995241935675</v>
      </c>
      <c r="K33" s="9" t="s">
        <v>14</v>
      </c>
    </row>
    <row r="34" spans="2:12" s="16" customFormat="1" ht="18" customHeight="1" thickBot="1" x14ac:dyDescent="0.3">
      <c r="B34" s="7">
        <v>456</v>
      </c>
      <c r="C34" s="13">
        <v>45944</v>
      </c>
      <c r="D34" s="10" t="s">
        <v>9</v>
      </c>
      <c r="E34" s="11" t="s">
        <v>10</v>
      </c>
      <c r="F34" s="7">
        <v>12</v>
      </c>
      <c r="G34" s="17">
        <v>0</v>
      </c>
      <c r="H34" s="19">
        <v>10169.49</v>
      </c>
      <c r="I34" s="19">
        <v>1830.51</v>
      </c>
      <c r="J34" s="8">
        <f t="shared" si="0"/>
        <v>18.000017700002655</v>
      </c>
      <c r="K34" s="9" t="s">
        <v>14</v>
      </c>
    </row>
    <row r="35" spans="2:12" s="16" customFormat="1" ht="18" customHeight="1" thickBot="1" x14ac:dyDescent="0.3">
      <c r="B35" s="7">
        <v>457</v>
      </c>
      <c r="C35" s="13">
        <v>45944</v>
      </c>
      <c r="D35" s="10" t="s">
        <v>9</v>
      </c>
      <c r="E35" s="11" t="s">
        <v>10</v>
      </c>
      <c r="F35" s="7">
        <v>46</v>
      </c>
      <c r="G35" s="17">
        <v>0</v>
      </c>
      <c r="H35" s="19">
        <v>39796.61</v>
      </c>
      <c r="I35" s="19">
        <v>7163.39</v>
      </c>
      <c r="J35" s="8">
        <f t="shared" si="0"/>
        <v>18.00000050255537</v>
      </c>
      <c r="K35" s="9" t="s">
        <v>14</v>
      </c>
    </row>
    <row r="36" spans="2:12" s="16" customFormat="1" ht="18" customHeight="1" thickBot="1" x14ac:dyDescent="0.3">
      <c r="B36" s="7">
        <v>454</v>
      </c>
      <c r="C36" s="13">
        <v>45944</v>
      </c>
      <c r="D36" s="10" t="s">
        <v>9</v>
      </c>
      <c r="E36" s="11" t="s">
        <v>10</v>
      </c>
      <c r="F36" s="7">
        <v>18</v>
      </c>
      <c r="G36" s="17">
        <v>0</v>
      </c>
      <c r="H36" s="19">
        <v>15254.24</v>
      </c>
      <c r="I36" s="19">
        <v>2745.76</v>
      </c>
      <c r="J36" s="8">
        <f t="shared" si="0"/>
        <v>17.999979022225951</v>
      </c>
      <c r="K36" s="9" t="s">
        <v>14</v>
      </c>
    </row>
    <row r="37" spans="2:12" s="16" customFormat="1" ht="18" customHeight="1" thickBot="1" x14ac:dyDescent="0.3">
      <c r="B37" s="7">
        <v>455</v>
      </c>
      <c r="C37" s="13">
        <v>45944</v>
      </c>
      <c r="D37" s="10" t="s">
        <v>9</v>
      </c>
      <c r="E37" s="11" t="s">
        <v>10</v>
      </c>
      <c r="F37" s="7">
        <v>38</v>
      </c>
      <c r="G37" s="17">
        <v>0</v>
      </c>
      <c r="H37" s="19">
        <v>28923.73</v>
      </c>
      <c r="I37" s="19">
        <v>5206.2700000000004</v>
      </c>
      <c r="J37" s="8">
        <f t="shared" si="0"/>
        <v>17.999995159683763</v>
      </c>
      <c r="K37" s="9" t="s">
        <v>14</v>
      </c>
    </row>
    <row r="38" spans="2:12" ht="18" customHeight="1" thickBot="1" x14ac:dyDescent="0.3">
      <c r="B38" s="7">
        <v>453</v>
      </c>
      <c r="C38" s="13">
        <v>45941</v>
      </c>
      <c r="D38" s="10" t="s">
        <v>9</v>
      </c>
      <c r="E38" s="11" t="s">
        <v>10</v>
      </c>
      <c r="F38" s="7">
        <v>180</v>
      </c>
      <c r="G38" s="17">
        <v>0</v>
      </c>
      <c r="H38" s="19">
        <v>1270238.3999999999</v>
      </c>
      <c r="I38" s="19">
        <v>317559.59999999998</v>
      </c>
      <c r="J38" s="8">
        <f t="shared" si="0"/>
        <v>25</v>
      </c>
      <c r="K38" s="9" t="s">
        <v>14</v>
      </c>
    </row>
    <row r="39" spans="2:12" ht="18" customHeight="1" thickBot="1" x14ac:dyDescent="0.3">
      <c r="B39" s="7">
        <v>451</v>
      </c>
      <c r="C39" s="13">
        <v>45939</v>
      </c>
      <c r="D39" s="10" t="s">
        <v>9</v>
      </c>
      <c r="E39" s="11" t="s">
        <v>10</v>
      </c>
      <c r="F39" s="7">
        <v>46</v>
      </c>
      <c r="G39" s="17">
        <v>0</v>
      </c>
      <c r="H39" s="19">
        <v>37889.83</v>
      </c>
      <c r="I39" s="19">
        <v>6820.17</v>
      </c>
      <c r="J39" s="8">
        <f t="shared" si="0"/>
        <v>18.000001583538378</v>
      </c>
      <c r="K39" s="9" t="s">
        <v>14</v>
      </c>
    </row>
    <row r="40" spans="2:12" ht="18" customHeight="1" thickBot="1" x14ac:dyDescent="0.3">
      <c r="B40" s="7">
        <v>452</v>
      </c>
      <c r="C40" s="13">
        <v>45940</v>
      </c>
      <c r="D40" s="10" t="s">
        <v>9</v>
      </c>
      <c r="E40" s="11" t="s">
        <v>10</v>
      </c>
      <c r="F40" s="7">
        <v>24</v>
      </c>
      <c r="G40" s="17">
        <v>0</v>
      </c>
      <c r="H40" s="19">
        <v>20338.98</v>
      </c>
      <c r="I40" s="19">
        <v>3661.02</v>
      </c>
      <c r="J40" s="8">
        <f t="shared" si="0"/>
        <v>18.000017700002655</v>
      </c>
      <c r="K40" s="9" t="s">
        <v>14</v>
      </c>
    </row>
    <row r="41" spans="2:12" ht="18" customHeight="1" thickBot="1" x14ac:dyDescent="0.3">
      <c r="B41" s="7">
        <v>449</v>
      </c>
      <c r="C41" s="13">
        <v>45937</v>
      </c>
      <c r="D41" s="10" t="s">
        <v>9</v>
      </c>
      <c r="E41" s="11" t="s">
        <v>10</v>
      </c>
      <c r="F41" s="7">
        <v>844</v>
      </c>
      <c r="G41" s="17">
        <v>0</v>
      </c>
      <c r="H41" s="19">
        <v>547050.85</v>
      </c>
      <c r="I41" s="19">
        <v>98469.15</v>
      </c>
      <c r="J41" s="8">
        <f t="shared" si="0"/>
        <v>17.999999451604911</v>
      </c>
      <c r="K41" s="9" t="s">
        <v>14</v>
      </c>
    </row>
    <row r="42" spans="2:12" ht="18" customHeight="1" thickBot="1" x14ac:dyDescent="0.3">
      <c r="B42" s="7">
        <v>450</v>
      </c>
      <c r="C42" s="13">
        <v>45937</v>
      </c>
      <c r="D42" s="10" t="s">
        <v>9</v>
      </c>
      <c r="E42" s="11" t="s">
        <v>10</v>
      </c>
      <c r="F42" s="7">
        <v>83</v>
      </c>
      <c r="G42" s="17">
        <v>0</v>
      </c>
      <c r="H42" s="19">
        <v>67966.100000000006</v>
      </c>
      <c r="I42" s="19">
        <v>12233.9</v>
      </c>
      <c r="J42" s="8">
        <f t="shared" si="0"/>
        <v>18.000002942643462</v>
      </c>
      <c r="K42" s="9" t="s">
        <v>14</v>
      </c>
    </row>
    <row r="43" spans="2:12" ht="18" customHeight="1" thickBot="1" x14ac:dyDescent="0.3">
      <c r="B43" s="7">
        <v>447</v>
      </c>
      <c r="C43" s="13">
        <v>45934</v>
      </c>
      <c r="D43" s="10" t="s">
        <v>9</v>
      </c>
      <c r="E43" s="11" t="s">
        <v>10</v>
      </c>
      <c r="F43" s="7">
        <v>99</v>
      </c>
      <c r="G43" s="17">
        <v>0</v>
      </c>
      <c r="H43" s="19">
        <v>70627.12</v>
      </c>
      <c r="I43" s="19">
        <v>12712.88</v>
      </c>
      <c r="J43" s="8">
        <f t="shared" si="0"/>
        <v>17.999997734581278</v>
      </c>
      <c r="K43" s="9" t="s">
        <v>14</v>
      </c>
      <c r="L43" s="18"/>
    </row>
    <row r="44" spans="2:12" ht="18" customHeight="1" thickBot="1" x14ac:dyDescent="0.3">
      <c r="B44" s="7">
        <v>448</v>
      </c>
      <c r="C44" s="13">
        <v>45936</v>
      </c>
      <c r="D44" s="10" t="s">
        <v>9</v>
      </c>
      <c r="E44" s="11" t="s">
        <v>10</v>
      </c>
      <c r="F44" s="7">
        <v>28</v>
      </c>
      <c r="G44" s="17">
        <v>0</v>
      </c>
      <c r="H44" s="19">
        <v>18627.12</v>
      </c>
      <c r="I44" s="19">
        <v>3352.88</v>
      </c>
      <c r="J44" s="8">
        <f t="shared" si="0"/>
        <v>17.999991410373692</v>
      </c>
      <c r="K44" s="9" t="s">
        <v>14</v>
      </c>
      <c r="L44" s="18"/>
    </row>
    <row r="45" spans="2:12" ht="18" customHeight="1" thickBot="1" x14ac:dyDescent="0.3">
      <c r="B45" s="7">
        <v>445</v>
      </c>
      <c r="C45" s="13">
        <v>45932</v>
      </c>
      <c r="D45" s="10" t="s">
        <v>9</v>
      </c>
      <c r="E45" s="11" t="s">
        <v>10</v>
      </c>
      <c r="F45" s="7">
        <v>259</v>
      </c>
      <c r="G45" s="17">
        <v>0</v>
      </c>
      <c r="H45" s="19">
        <v>1834022.4</v>
      </c>
      <c r="I45" s="19">
        <v>458505.6</v>
      </c>
      <c r="J45" s="12">
        <f t="shared" si="0"/>
        <v>25</v>
      </c>
      <c r="K45" s="9" t="s">
        <v>14</v>
      </c>
    </row>
    <row r="46" spans="2:12" ht="18" customHeight="1" thickBot="1" x14ac:dyDescent="0.3">
      <c r="B46" s="7">
        <v>446</v>
      </c>
      <c r="C46" s="13">
        <v>45932</v>
      </c>
      <c r="D46" s="10" t="s">
        <v>9</v>
      </c>
      <c r="E46" s="11" t="s">
        <v>10</v>
      </c>
      <c r="F46" s="7">
        <v>142</v>
      </c>
      <c r="G46" s="17">
        <v>0</v>
      </c>
      <c r="H46" s="19">
        <v>105567.8</v>
      </c>
      <c r="I46" s="19">
        <v>19002.2</v>
      </c>
      <c r="J46" s="8">
        <f t="shared" si="0"/>
        <v>17.999996210965843</v>
      </c>
      <c r="K46" s="9" t="s">
        <v>14</v>
      </c>
    </row>
    <row r="47" spans="2:12" ht="18" customHeight="1" thickBot="1" x14ac:dyDescent="0.3">
      <c r="B47" s="7">
        <v>444</v>
      </c>
      <c r="C47" s="13">
        <v>45932</v>
      </c>
      <c r="D47" s="10" t="s">
        <v>9</v>
      </c>
      <c r="E47" s="11" t="s">
        <v>10</v>
      </c>
      <c r="F47" s="7">
        <v>936</v>
      </c>
      <c r="G47" s="17">
        <v>0</v>
      </c>
      <c r="H47" s="19">
        <v>814779.66</v>
      </c>
      <c r="I47" s="19">
        <v>146660.34</v>
      </c>
      <c r="J47" s="8">
        <f t="shared" si="0"/>
        <v>18.000000147279081</v>
      </c>
      <c r="K47" s="9" t="s">
        <v>14</v>
      </c>
    </row>
    <row r="48" spans="2:12" ht="18" customHeight="1" thickBot="1" x14ac:dyDescent="0.3">
      <c r="B48" s="7">
        <v>443</v>
      </c>
      <c r="C48" s="13">
        <v>45932</v>
      </c>
      <c r="D48" s="10" t="s">
        <v>9</v>
      </c>
      <c r="E48" s="11" t="s">
        <v>10</v>
      </c>
      <c r="F48" s="7">
        <v>48</v>
      </c>
      <c r="G48" s="17">
        <v>0</v>
      </c>
      <c r="H48" s="19">
        <v>31932.2</v>
      </c>
      <c r="I48" s="19">
        <v>5747.8</v>
      </c>
      <c r="J48" s="8">
        <f t="shared" si="0"/>
        <v>18.000012526540608</v>
      </c>
      <c r="K48" s="9" t="s">
        <v>14</v>
      </c>
    </row>
    <row r="49" spans="2:11" ht="18" customHeight="1" thickBot="1" x14ac:dyDescent="0.3">
      <c r="B49" s="7">
        <v>441</v>
      </c>
      <c r="C49" s="13">
        <v>45931</v>
      </c>
      <c r="D49" s="10" t="s">
        <v>9</v>
      </c>
      <c r="E49" s="11" t="s">
        <v>10</v>
      </c>
      <c r="F49" s="7">
        <v>65</v>
      </c>
      <c r="G49" s="17">
        <v>0</v>
      </c>
      <c r="H49" s="19">
        <v>65720.34</v>
      </c>
      <c r="I49" s="19">
        <v>11829.66</v>
      </c>
      <c r="J49" s="8">
        <f t="shared" si="0"/>
        <v>17.999998174081266</v>
      </c>
      <c r="K49" s="9" t="s">
        <v>14</v>
      </c>
    </row>
    <row r="50" spans="2:11" ht="18" customHeight="1" thickBot="1" x14ac:dyDescent="0.3">
      <c r="B50" s="7">
        <v>442</v>
      </c>
      <c r="C50" s="13">
        <v>45931</v>
      </c>
      <c r="D50" s="10" t="s">
        <v>9</v>
      </c>
      <c r="E50" s="11" t="s">
        <v>10</v>
      </c>
      <c r="F50" s="7">
        <v>68</v>
      </c>
      <c r="G50" s="17">
        <v>0</v>
      </c>
      <c r="H50" s="19">
        <v>54186.44</v>
      </c>
      <c r="I50" s="19">
        <v>9753.56</v>
      </c>
      <c r="J50" s="8">
        <f t="shared" si="0"/>
        <v>18.000001476384128</v>
      </c>
      <c r="K50" s="9" t="s">
        <v>14</v>
      </c>
    </row>
    <row r="51" spans="2:11" ht="18" customHeight="1" thickBot="1" x14ac:dyDescent="0.3">
      <c r="B51" s="7">
        <v>486</v>
      </c>
      <c r="C51" s="13">
        <v>45959</v>
      </c>
      <c r="D51" s="10" t="s">
        <v>9</v>
      </c>
      <c r="E51" s="11" t="s">
        <v>10</v>
      </c>
      <c r="F51" s="7">
        <v>648</v>
      </c>
      <c r="G51" s="17">
        <v>0</v>
      </c>
      <c r="H51" s="19">
        <v>424067.8</v>
      </c>
      <c r="I51" s="19">
        <v>76332.2</v>
      </c>
      <c r="J51" s="8">
        <f t="shared" si="0"/>
        <v>17.999999056754604</v>
      </c>
      <c r="K51" s="9" t="s">
        <v>14</v>
      </c>
    </row>
    <row r="52" spans="2:11" ht="18" customHeight="1" thickBot="1" x14ac:dyDescent="0.3">
      <c r="B52" s="7">
        <v>487</v>
      </c>
      <c r="C52" s="13">
        <v>45960</v>
      </c>
      <c r="D52" s="10" t="s">
        <v>9</v>
      </c>
      <c r="E52" s="11" t="s">
        <v>10</v>
      </c>
      <c r="F52" s="7">
        <v>156</v>
      </c>
      <c r="G52" s="17">
        <v>0</v>
      </c>
      <c r="H52" s="19">
        <v>123915.25</v>
      </c>
      <c r="I52" s="21">
        <v>22304.75</v>
      </c>
      <c r="J52" s="8">
        <f t="shared" si="0"/>
        <v>18.000004035015866</v>
      </c>
      <c r="K52" s="9" t="s">
        <v>14</v>
      </c>
    </row>
    <row r="53" spans="2:11" ht="18" customHeight="1" thickBot="1" x14ac:dyDescent="0.3">
      <c r="B53" s="7">
        <v>488</v>
      </c>
      <c r="C53" s="13">
        <v>45960</v>
      </c>
      <c r="D53" s="10" t="s">
        <v>9</v>
      </c>
      <c r="E53" s="11" t="s">
        <v>10</v>
      </c>
      <c r="F53" s="7">
        <v>72</v>
      </c>
      <c r="G53" s="17">
        <v>0</v>
      </c>
      <c r="H53" s="19">
        <v>62644.07</v>
      </c>
      <c r="I53" s="19">
        <v>11275.93</v>
      </c>
      <c r="J53" s="8">
        <f t="shared" si="0"/>
        <v>17.999995849567245</v>
      </c>
      <c r="K53" s="9" t="s">
        <v>14</v>
      </c>
    </row>
    <row r="54" spans="2:11" ht="18" customHeight="1" thickBot="1" x14ac:dyDescent="0.3">
      <c r="B54" s="7">
        <v>489</v>
      </c>
      <c r="C54" s="13">
        <v>45960</v>
      </c>
      <c r="D54" s="10" t="s">
        <v>9</v>
      </c>
      <c r="E54" s="11" t="s">
        <v>10</v>
      </c>
      <c r="F54" s="7">
        <v>94</v>
      </c>
      <c r="G54" s="17">
        <v>0</v>
      </c>
      <c r="H54" s="19">
        <v>69822.03</v>
      </c>
      <c r="I54" s="19">
        <v>12567.97</v>
      </c>
      <c r="J54" s="8">
        <f t="shared" si="0"/>
        <v>18.000006588178547</v>
      </c>
      <c r="K54" s="9" t="s">
        <v>14</v>
      </c>
    </row>
    <row r="55" spans="2:11" ht="18" customHeight="1" thickBot="1" x14ac:dyDescent="0.3">
      <c r="B55" s="7">
        <v>490</v>
      </c>
      <c r="C55" s="13">
        <v>45961</v>
      </c>
      <c r="D55" s="10" t="s">
        <v>9</v>
      </c>
      <c r="E55" s="11" t="s">
        <v>10</v>
      </c>
      <c r="F55" s="7">
        <v>24</v>
      </c>
      <c r="G55" s="17">
        <v>0</v>
      </c>
      <c r="H55" s="19">
        <v>19652.54</v>
      </c>
      <c r="I55" s="25">
        <v>3537.46</v>
      </c>
      <c r="J55" s="8">
        <f t="shared" si="0"/>
        <v>18.000014247522202</v>
      </c>
      <c r="K55" s="9" t="s">
        <v>14</v>
      </c>
    </row>
    <row r="56" spans="2:11" ht="18" customHeight="1" thickBot="1" x14ac:dyDescent="0.3">
      <c r="B56" s="7"/>
      <c r="C56" s="13"/>
      <c r="F56" s="7"/>
      <c r="G56" s="22"/>
      <c r="H56" s="7"/>
      <c r="I56" s="7"/>
      <c r="J56" s="23"/>
      <c r="K56" s="24"/>
    </row>
  </sheetData>
  <sortState ref="B6:K49">
    <sortCondition ref="J6:J49"/>
    <sortCondition ref="B6:B4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AFFAN</cp:lastModifiedBy>
  <cp:revision>1</cp:revision>
  <dcterms:created xsi:type="dcterms:W3CDTF">2024-10-16T12:44:14Z</dcterms:created>
  <dcterms:modified xsi:type="dcterms:W3CDTF">2025-11-11T19:11:12Z</dcterms:modified>
</cp:coreProperties>
</file>