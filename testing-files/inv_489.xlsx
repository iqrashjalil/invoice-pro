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AL FATAH ATTARI\OCTOBER\"/>
    </mc:Choice>
  </mc:AlternateContent>
  <xr:revisionPtr revIDLastSave="0" documentId="13_ncr:1_{B7E20A98-7CD2-4FB7-B65C-A1E0AE0F780C}" xr6:coauthVersionLast="47" xr6:coauthVersionMax="47" xr10:uidLastSave="{00000000-0000-0000-0000-000000000000}"/>
  <bookViews>
    <workbookView xWindow="-110" yWindow="-110" windowWidth="19420" windowHeight="10420" tabRatio="588" xr2:uid="{00000000-000D-0000-FFFF-FFFF00000000}"/>
  </bookViews>
  <sheets>
    <sheet name="3rd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9" i="1" l="1"/>
  <c r="J59" i="1"/>
  <c r="M58" i="1"/>
  <c r="J58" i="1"/>
  <c r="K58" i="1" s="1"/>
  <c r="L58" i="1" l="1"/>
  <c r="N58" i="1" s="1"/>
  <c r="K59" i="1"/>
  <c r="L59" i="1" s="1"/>
  <c r="N59" i="1" s="1"/>
  <c r="J60" i="1" l="1"/>
  <c r="J61" i="1"/>
  <c r="K61" i="1" s="1"/>
  <c r="J62" i="1"/>
  <c r="K62" i="1" s="1"/>
  <c r="L62" i="1" s="1"/>
  <c r="J64" i="1"/>
  <c r="K64" i="1" s="1"/>
  <c r="K60" i="1" l="1"/>
  <c r="L60" i="1" s="1"/>
  <c r="L64" i="1"/>
  <c r="L61" i="1"/>
  <c r="J57" i="1" l="1"/>
  <c r="E66" i="1"/>
  <c r="M62" i="1"/>
  <c r="M60" i="1"/>
  <c r="M57" i="1"/>
  <c r="F56" i="1"/>
  <c r="J56" i="1" s="1"/>
  <c r="F55" i="1"/>
  <c r="M55" i="1" s="1"/>
  <c r="F54" i="1"/>
  <c r="M54" i="1" s="1"/>
  <c r="F53" i="1"/>
  <c r="M53" i="1" s="1"/>
  <c r="F52" i="1"/>
  <c r="J52" i="1" s="1"/>
  <c r="F51" i="1"/>
  <c r="M51" i="1" s="1"/>
  <c r="F50" i="1"/>
  <c r="J50" i="1" s="1"/>
  <c r="F49" i="1"/>
  <c r="M49" i="1" s="1"/>
  <c r="F48" i="1"/>
  <c r="J48" i="1" s="1"/>
  <c r="F47" i="1"/>
  <c r="M47" i="1" s="1"/>
  <c r="F46" i="1"/>
  <c r="M46" i="1" s="1"/>
  <c r="F45" i="1"/>
  <c r="M45" i="1" s="1"/>
  <c r="F44" i="1"/>
  <c r="M44" i="1" s="1"/>
  <c r="F43" i="1"/>
  <c r="M43" i="1" s="1"/>
  <c r="F42" i="1"/>
  <c r="M42" i="1" s="1"/>
  <c r="F41" i="1"/>
  <c r="M41" i="1" s="1"/>
  <c r="F40" i="1"/>
  <c r="J40" i="1" s="1"/>
  <c r="F39" i="1"/>
  <c r="M39" i="1" s="1"/>
  <c r="F38" i="1"/>
  <c r="J38" i="1" s="1"/>
  <c r="F37" i="1"/>
  <c r="M37" i="1" s="1"/>
  <c r="F36" i="1"/>
  <c r="M36" i="1" s="1"/>
  <c r="F35" i="1"/>
  <c r="M35" i="1" s="1"/>
  <c r="F34" i="1"/>
  <c r="M34" i="1" s="1"/>
  <c r="F33" i="1"/>
  <c r="M33" i="1" s="1"/>
  <c r="F32" i="1"/>
  <c r="M32" i="1" s="1"/>
  <c r="M31" i="1"/>
  <c r="M30" i="1"/>
  <c r="M29" i="1"/>
  <c r="M28" i="1"/>
  <c r="J28" i="1"/>
  <c r="K28" i="1" s="1"/>
  <c r="L28" i="1" s="1"/>
  <c r="M27" i="1"/>
  <c r="M26" i="1"/>
  <c r="J26" i="1"/>
  <c r="K26" i="1" s="1"/>
  <c r="M25" i="1"/>
  <c r="J25" i="1"/>
  <c r="K25" i="1" s="1"/>
  <c r="L25" i="1" s="1"/>
  <c r="N25" i="1" s="1"/>
  <c r="M24" i="1"/>
  <c r="J24" i="1"/>
  <c r="M23" i="1"/>
  <c r="M22" i="1"/>
  <c r="J22" i="1"/>
  <c r="K22" i="1" s="1"/>
  <c r="L22" i="1" s="1"/>
  <c r="M21" i="1"/>
  <c r="M20" i="1"/>
  <c r="J20" i="1"/>
  <c r="K20" i="1" s="1"/>
  <c r="F66" i="1" l="1"/>
  <c r="J63" i="1"/>
  <c r="K63" i="1" s="1"/>
  <c r="L63" i="1" s="1"/>
  <c r="N22" i="1"/>
  <c r="J66" i="1"/>
  <c r="J55" i="1"/>
  <c r="J37" i="1"/>
  <c r="K37" i="1" s="1"/>
  <c r="L37" i="1" s="1"/>
  <c r="N37" i="1" s="1"/>
  <c r="J49" i="1"/>
  <c r="J31" i="1"/>
  <c r="K31" i="1" s="1"/>
  <c r="L31" i="1" s="1"/>
  <c r="N31" i="1" s="1"/>
  <c r="N62" i="1"/>
  <c r="J29" i="1"/>
  <c r="J43" i="1"/>
  <c r="K43" i="1" s="1"/>
  <c r="L43" i="1" s="1"/>
  <c r="N43" i="1" s="1"/>
  <c r="J41" i="1"/>
  <c r="L26" i="1"/>
  <c r="N26" i="1" s="1"/>
  <c r="M56" i="1"/>
  <c r="J27" i="1"/>
  <c r="K27" i="1" s="1"/>
  <c r="L27" i="1" s="1"/>
  <c r="N27" i="1" s="1"/>
  <c r="J33" i="1"/>
  <c r="J45" i="1"/>
  <c r="J51" i="1"/>
  <c r="J23" i="1"/>
  <c r="N28" i="1"/>
  <c r="L20" i="1"/>
  <c r="N20" i="1" s="1"/>
  <c r="J35" i="1"/>
  <c r="J53" i="1"/>
  <c r="J47" i="1"/>
  <c r="K55" i="1"/>
  <c r="L55" i="1" s="1"/>
  <c r="N55" i="1" s="1"/>
  <c r="J39" i="1"/>
  <c r="J21" i="1"/>
  <c r="K21" i="1" s="1"/>
  <c r="L21" i="1" s="1"/>
  <c r="K38" i="1"/>
  <c r="L38" i="1" s="1"/>
  <c r="K48" i="1"/>
  <c r="L48" i="1" s="1"/>
  <c r="K52" i="1"/>
  <c r="L52" i="1" s="1"/>
  <c r="K56" i="1"/>
  <c r="L56" i="1" s="1"/>
  <c r="K40" i="1"/>
  <c r="L40" i="1" s="1"/>
  <c r="K50" i="1"/>
  <c r="L50" i="1" s="1"/>
  <c r="M38" i="1"/>
  <c r="M40" i="1"/>
  <c r="M48" i="1"/>
  <c r="M50" i="1"/>
  <c r="M52" i="1"/>
  <c r="K24" i="1"/>
  <c r="L24" i="1" s="1"/>
  <c r="N24" i="1" s="1"/>
  <c r="J30" i="1"/>
  <c r="J32" i="1"/>
  <c r="J34" i="1"/>
  <c r="J36" i="1"/>
  <c r="J42" i="1"/>
  <c r="J44" i="1"/>
  <c r="J46" i="1"/>
  <c r="J54" i="1"/>
  <c r="M61" i="1"/>
  <c r="M63" i="1"/>
  <c r="N56" i="1" l="1"/>
  <c r="N38" i="1"/>
  <c r="K49" i="1"/>
  <c r="L49" i="1" s="1"/>
  <c r="N49" i="1" s="1"/>
  <c r="N48" i="1"/>
  <c r="K29" i="1"/>
  <c r="L29" i="1" s="1"/>
  <c r="N29" i="1" s="1"/>
  <c r="N52" i="1"/>
  <c r="K41" i="1"/>
  <c r="L41" i="1" s="1"/>
  <c r="N41" i="1" s="1"/>
  <c r="M66" i="1"/>
  <c r="N50" i="1"/>
  <c r="K23" i="1"/>
  <c r="L23" i="1" s="1"/>
  <c r="N23" i="1" s="1"/>
  <c r="K51" i="1"/>
  <c r="L51" i="1" s="1"/>
  <c r="N51" i="1" s="1"/>
  <c r="K57" i="1"/>
  <c r="N60" i="1"/>
  <c r="N63" i="1"/>
  <c r="K39" i="1"/>
  <c r="L39" i="1" s="1"/>
  <c r="N39" i="1" s="1"/>
  <c r="K45" i="1"/>
  <c r="L45" i="1" s="1"/>
  <c r="N45" i="1" s="1"/>
  <c r="K47" i="1"/>
  <c r="L47" i="1" s="1"/>
  <c r="N47" i="1" s="1"/>
  <c r="K33" i="1"/>
  <c r="L33" i="1" s="1"/>
  <c r="N33" i="1" s="1"/>
  <c r="K53" i="1"/>
  <c r="L53" i="1" s="1"/>
  <c r="N53" i="1" s="1"/>
  <c r="K35" i="1"/>
  <c r="L35" i="1" s="1"/>
  <c r="N35" i="1" s="1"/>
  <c r="N21" i="1"/>
  <c r="K32" i="1"/>
  <c r="L32" i="1" s="1"/>
  <c r="N32" i="1" s="1"/>
  <c r="L67" i="1"/>
  <c r="K42" i="1"/>
  <c r="L42" i="1" s="1"/>
  <c r="N42" i="1" s="1"/>
  <c r="K54" i="1"/>
  <c r="L54" i="1" s="1"/>
  <c r="N54" i="1" s="1"/>
  <c r="K36" i="1"/>
  <c r="L36" i="1" s="1"/>
  <c r="N36" i="1" s="1"/>
  <c r="N61" i="1"/>
  <c r="K44" i="1"/>
  <c r="L44" i="1" s="1"/>
  <c r="N44" i="1" s="1"/>
  <c r="N40" i="1"/>
  <c r="K30" i="1"/>
  <c r="K46" i="1"/>
  <c r="L46" i="1" s="1"/>
  <c r="N46" i="1" s="1"/>
  <c r="K34" i="1"/>
  <c r="L34" i="1" s="1"/>
  <c r="N34" i="1" s="1"/>
  <c r="L57" i="1" l="1"/>
  <c r="K66" i="1"/>
  <c r="L68" i="1" s="1"/>
  <c r="L69" i="1" s="1"/>
  <c r="L30" i="1"/>
  <c r="N57" i="1" l="1"/>
  <c r="L66" i="1"/>
  <c r="L70" i="1"/>
  <c r="L71" i="1" s="1"/>
  <c r="N30" i="1"/>
  <c r="N66" i="1" l="1"/>
</calcChain>
</file>

<file path=xl/sharedStrings.xml><?xml version="1.0" encoding="utf-8"?>
<sst xmlns="http://schemas.openxmlformats.org/spreadsheetml/2006/main" count="137" uniqueCount="85">
  <si>
    <t>SALES TAX INVOICE</t>
  </si>
  <si>
    <t>TO</t>
  </si>
  <si>
    <t>FROM</t>
  </si>
  <si>
    <t>ZUBAIDA ASSOCIATES</t>
  </si>
  <si>
    <t>MUMTAZ BROTHERS</t>
  </si>
  <si>
    <t>NTN: 4269497-3</t>
  </si>
  <si>
    <t>NTN:0658087-4</t>
  </si>
  <si>
    <t>STRN: 0300426949714</t>
  </si>
  <si>
    <t>LAHORE</t>
  </si>
  <si>
    <t xml:space="preserve">Product Barcode </t>
  </si>
  <si>
    <t xml:space="preserve">PRODUCT
</t>
  </si>
  <si>
    <t xml:space="preserve">GROSS WEIGHT </t>
  </si>
  <si>
    <t xml:space="preserve">NET WEIGHT </t>
  </si>
  <si>
    <t>CTNS</t>
  </si>
  <si>
    <t>QUANTITY UNITS</t>
  </si>
  <si>
    <t>PACKING</t>
  </si>
  <si>
    <t>UNIT PRICE</t>
  </si>
  <si>
    <t>EXCUSIVE(GST)</t>
  </si>
  <si>
    <t>GST(18%)</t>
  </si>
  <si>
    <t>INCLUSIVE (GST)</t>
  </si>
  <si>
    <t>Figaro Olives Sliced Green</t>
  </si>
  <si>
    <t>340 gm</t>
  </si>
  <si>
    <t>180 gm</t>
  </si>
  <si>
    <t xml:space="preserve">Figaro Olives Sliced Black </t>
  </si>
  <si>
    <t>Figaro Olives Plain Green</t>
  </si>
  <si>
    <t>200 gm</t>
  </si>
  <si>
    <t>Figaro Olives Plain Black</t>
  </si>
  <si>
    <t>Figaro Green Stuffed
Olives</t>
  </si>
  <si>
    <t>Figaro Olives Pitted Green</t>
  </si>
  <si>
    <t>450 gm</t>
  </si>
  <si>
    <t>212 gm</t>
  </si>
  <si>
    <t>Figaro Olives Pitted Black</t>
  </si>
  <si>
    <t xml:space="preserve">Figaro Olives Green Sliced
</t>
  </si>
  <si>
    <t>230 gm</t>
  </si>
  <si>
    <t>Figaro Olives Sliced Black</t>
  </si>
  <si>
    <t>270 gm</t>
  </si>
  <si>
    <t xml:space="preserve">Figaro Olives Plain Black </t>
  </si>
  <si>
    <t>Figaro Olives Green Stuffed</t>
  </si>
  <si>
    <t>920 gm</t>
  </si>
  <si>
    <t>480 gm</t>
  </si>
  <si>
    <t xml:space="preserve"> Figaro Olives Plain Green</t>
  </si>
  <si>
    <t>575 gm</t>
  </si>
  <si>
    <t>3000 gm</t>
  </si>
  <si>
    <t xml:space="preserve"> 1560 gm</t>
  </si>
  <si>
    <t>500 ML</t>
  </si>
  <si>
    <t xml:space="preserve">Unit Price </t>
  </si>
  <si>
    <t>AL AIN WATER 500 ML</t>
  </si>
  <si>
    <t>AL AIN WATER 330 ML</t>
  </si>
  <si>
    <t>330 ML</t>
  </si>
  <si>
    <t>TOTAL</t>
  </si>
  <si>
    <t>NET PAYABLE</t>
  </si>
  <si>
    <t>Sasso Pure Olive Oil Tin</t>
  </si>
  <si>
    <t>100m1</t>
  </si>
  <si>
    <t>200m1</t>
  </si>
  <si>
    <t>400m1</t>
  </si>
  <si>
    <t>1 litre</t>
  </si>
  <si>
    <t>3 litre</t>
  </si>
  <si>
    <t>Sasso Pure Bottle</t>
  </si>
  <si>
    <t>250 ml</t>
  </si>
  <si>
    <t>500m1</t>
  </si>
  <si>
    <t>Sasso Extra Virgin Tin</t>
  </si>
  <si>
    <t>Sasso Extra Virgin Bottle</t>
  </si>
  <si>
    <t>Gross Amount</t>
  </si>
  <si>
    <t>Gst @ 18%</t>
  </si>
  <si>
    <t>NET AMOUNT</t>
  </si>
  <si>
    <t>ADD TAX 0.5%</t>
  </si>
  <si>
    <t>Puck Cream Cheese</t>
  </si>
  <si>
    <t>200gm</t>
  </si>
  <si>
    <t>Arla Kid Stick</t>
  </si>
  <si>
    <t>Viking Feta Cheese</t>
  </si>
  <si>
    <t>500 gm</t>
  </si>
  <si>
    <t xml:space="preserve">Puck cheese spread </t>
  </si>
  <si>
    <t>140 gm</t>
  </si>
  <si>
    <t>18GM</t>
  </si>
  <si>
    <t>200GM</t>
  </si>
  <si>
    <t>500GM</t>
  </si>
  <si>
    <t>Castello Blue Cheese</t>
  </si>
  <si>
    <t>100gm</t>
  </si>
  <si>
    <t>Castello Brie Cheese</t>
  </si>
  <si>
    <t>125GM</t>
  </si>
  <si>
    <t>140GM</t>
  </si>
  <si>
    <t>DATE:30-10-25</t>
  </si>
  <si>
    <t>invoice #489</t>
  </si>
  <si>
    <t>PO:000433111-1</t>
  </si>
  <si>
    <t>HUSSAIN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</si>
</sst>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top"/>
    </xf>
    <xf numFmtId="4" fontId="0" fillId="0" borderId="0" xfId="0" applyNumberFormat="1"/>
    <xf numFmtId="4" fontId="2" fillId="0" borderId="0" xfId="0" applyNumberFormat="1" applyFont="1"/>
    <xf numFmtId="0" fontId="2" fillId="0" borderId="0" xfId="0" applyFont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4" fontId="3" fillId="2" borderId="8" xfId="0" applyNumberFormat="1" applyFont="1" applyFill="1" applyBorder="1"/>
    <xf numFmtId="0" fontId="4" fillId="0" borderId="0" xfId="0" applyFont="1"/>
    <xf numFmtId="0" fontId="6" fillId="0" borderId="2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1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top" wrapText="1"/>
    </xf>
    <xf numFmtId="4" fontId="6" fillId="0" borderId="6" xfId="0" applyNumberFormat="1" applyFont="1" applyBorder="1" applyAlignment="1">
      <alignment horizontal="center" vertical="top" wrapText="1"/>
    </xf>
    <xf numFmtId="1" fontId="6" fillId="0" borderId="4" xfId="0" applyNumberFormat="1" applyFont="1" applyBorder="1" applyAlignment="1">
      <alignment horizontal="center" vertical="top" wrapText="1"/>
    </xf>
    <xf numFmtId="1" fontId="6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" fontId="4" fillId="0" borderId="0" xfId="0" applyNumberFormat="1" applyFont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1" fontId="5" fillId="0" borderId="7" xfId="0" applyNumberFormat="1" applyFont="1" applyBorder="1" applyAlignment="1">
      <alignment horizontal="center" vertical="center"/>
    </xf>
    <xf numFmtId="4" fontId="5" fillId="0" borderId="7" xfId="0" applyNumberFormat="1" applyFont="1" applyBorder="1"/>
    <xf numFmtId="4" fontId="5" fillId="0" borderId="0" xfId="0" applyNumberFormat="1" applyFont="1"/>
    <xf numFmtId="1" fontId="6" fillId="0" borderId="4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/>
    <xf numFmtId="1" fontId="6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1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25.08984375" customWidth="1"/>
    <col min="2" max="2" width="37.1796875" customWidth="1"/>
    <col min="3" max="3" width="22.81640625" customWidth="1"/>
    <col min="4" max="4" width="22.54296875" hidden="1" customWidth="1"/>
    <col min="5" max="5" width="8.984375E-2" customWidth="1"/>
    <col min="6" max="6" width="22.54296875" customWidth="1"/>
    <col min="7" max="7" width="15.90625" customWidth="1"/>
    <col min="8" max="8" width="2.54296875" hidden="1" customWidth="1"/>
    <col min="9" max="9" width="20.90625" customWidth="1"/>
    <col min="10" max="10" width="23" bestFit="1" customWidth="1"/>
    <col min="11" max="11" width="19.90625" bestFit="1" customWidth="1"/>
    <col min="12" max="12" width="23" bestFit="1" customWidth="1"/>
    <col min="13" max="13" width="11.6328125" hidden="1" customWidth="1"/>
    <col min="14" max="14" width="10.08984375" hidden="1" customWidth="1"/>
  </cols>
  <sheetData>
    <row r="1" spans="1:6" ht="21" x14ac:dyDescent="0.5">
      <c r="A1" s="8"/>
      <c r="B1" s="41" t="s">
        <v>0</v>
      </c>
      <c r="C1" s="41"/>
      <c r="D1" s="41"/>
      <c r="E1" s="1"/>
      <c r="F1" s="1"/>
    </row>
    <row r="2" spans="1:6" ht="21" x14ac:dyDescent="0.5">
      <c r="A2" s="8"/>
      <c r="B2" s="8"/>
      <c r="C2" s="8"/>
      <c r="D2" s="8"/>
    </row>
    <row r="3" spans="1:6" ht="21" x14ac:dyDescent="0.5">
      <c r="A3" s="8"/>
      <c r="B3" s="8"/>
      <c r="C3" s="8"/>
      <c r="D3" s="8"/>
    </row>
    <row r="4" spans="1:6" ht="21" x14ac:dyDescent="0.5">
      <c r="A4" s="8" t="s">
        <v>1</v>
      </c>
      <c r="B4" s="8"/>
      <c r="C4" s="8" t="s">
        <v>2</v>
      </c>
      <c r="D4" s="8"/>
    </row>
    <row r="5" spans="1:6" ht="21" x14ac:dyDescent="0.5">
      <c r="A5" s="8"/>
      <c r="B5" s="8" t="s">
        <v>3</v>
      </c>
      <c r="C5" s="8"/>
      <c r="D5" s="8"/>
      <c r="F5" s="8" t="s">
        <v>4</v>
      </c>
    </row>
    <row r="6" spans="1:6" ht="21" x14ac:dyDescent="0.5">
      <c r="A6" s="8"/>
      <c r="B6" s="8" t="s">
        <v>5</v>
      </c>
      <c r="C6" s="8"/>
      <c r="D6" s="8"/>
      <c r="F6" s="8" t="s">
        <v>6</v>
      </c>
    </row>
    <row r="7" spans="1:6" ht="21" x14ac:dyDescent="0.5">
      <c r="A7" s="8"/>
      <c r="B7" s="8" t="s">
        <v>7</v>
      </c>
      <c r="C7" s="8"/>
      <c r="D7" s="8"/>
      <c r="F7" s="8" t="s">
        <v>81</v>
      </c>
    </row>
    <row r="8" spans="1:6" ht="21" x14ac:dyDescent="0.5">
      <c r="A8" s="8"/>
      <c r="B8" s="8" t="s">
        <v>83</v>
      </c>
      <c r="C8" s="8"/>
      <c r="D8" s="8"/>
      <c r="F8" s="8" t="s">
        <v>8</v>
      </c>
    </row>
    <row r="9" spans="1:6" ht="21" x14ac:dyDescent="0.5">
      <c r="A9" s="8"/>
      <c r="B9" s="8" t="s">
        <v>84</v>
      </c>
      <c r="C9" s="8"/>
      <c r="D9" s="8"/>
      <c r="F9" s="8" t="s">
        <v>82</v>
      </c>
    </row>
    <row r="10" spans="1:6" ht="21" x14ac:dyDescent="0.5">
      <c r="A10" s="8"/>
      <c r="B10" s="8"/>
      <c r="C10" s="8"/>
      <c r="D10" s="8"/>
    </row>
    <row r="17" spans="1:14" ht="15" thickBot="1" x14ac:dyDescent="0.4"/>
    <row r="18" spans="1:14" ht="21" x14ac:dyDescent="0.35">
      <c r="A18" s="42"/>
      <c r="B18" s="43"/>
      <c r="C18" s="43"/>
      <c r="D18" s="43"/>
      <c r="E18" s="43"/>
      <c r="F18" s="43"/>
      <c r="G18" s="43"/>
      <c r="H18" s="43"/>
      <c r="I18" s="9"/>
      <c r="J18" s="10"/>
      <c r="K18" s="9"/>
      <c r="L18" s="11"/>
    </row>
    <row r="19" spans="1:14" ht="21.75" customHeight="1" x14ac:dyDescent="0.35">
      <c r="A19" s="12" t="s">
        <v>9</v>
      </c>
      <c r="B19" s="13" t="s">
        <v>10</v>
      </c>
      <c r="C19" s="13" t="s">
        <v>11</v>
      </c>
      <c r="D19" s="13" t="s">
        <v>12</v>
      </c>
      <c r="E19" s="13" t="s">
        <v>13</v>
      </c>
      <c r="F19" s="13" t="s">
        <v>14</v>
      </c>
      <c r="G19" s="13" t="s">
        <v>15</v>
      </c>
      <c r="H19" s="39"/>
      <c r="I19" s="13" t="s">
        <v>16</v>
      </c>
      <c r="J19" s="13" t="s">
        <v>17</v>
      </c>
      <c r="K19" s="13" t="s">
        <v>18</v>
      </c>
      <c r="L19" s="15" t="s">
        <v>19</v>
      </c>
    </row>
    <row r="20" spans="1:14" ht="61.5" hidden="1" customHeight="1" x14ac:dyDescent="0.35">
      <c r="A20" s="16">
        <v>8006705410016</v>
      </c>
      <c r="B20" s="17" t="s">
        <v>51</v>
      </c>
      <c r="C20" s="17" t="s">
        <v>52</v>
      </c>
      <c r="D20" s="13"/>
      <c r="E20" s="13"/>
      <c r="F20" s="13"/>
      <c r="G20" s="18">
        <v>20</v>
      </c>
      <c r="H20" s="14"/>
      <c r="I20" s="19">
        <v>660</v>
      </c>
      <c r="J20" s="20">
        <f>(I20/1.18)*F20</f>
        <v>0</v>
      </c>
      <c r="K20" s="20">
        <f>J20*18%</f>
        <v>0</v>
      </c>
      <c r="L20" s="21">
        <f>J20+K20</f>
        <v>0</v>
      </c>
      <c r="M20" s="2">
        <f>I20*F20</f>
        <v>0</v>
      </c>
      <c r="N20" s="2">
        <f>L20-M20</f>
        <v>0</v>
      </c>
    </row>
    <row r="21" spans="1:14" ht="61.5" hidden="1" customHeight="1" x14ac:dyDescent="0.35">
      <c r="A21" s="16">
        <v>8006705410023</v>
      </c>
      <c r="B21" s="17" t="s">
        <v>51</v>
      </c>
      <c r="C21" s="17" t="s">
        <v>53</v>
      </c>
      <c r="D21" s="13"/>
      <c r="E21" s="13"/>
      <c r="F21" s="13"/>
      <c r="G21" s="18">
        <v>20</v>
      </c>
      <c r="H21" s="14"/>
      <c r="I21" s="19">
        <v>1083</v>
      </c>
      <c r="J21" s="20">
        <f t="shared" ref="J21:J32" si="0">(I21/1.18)*F21</f>
        <v>0</v>
      </c>
      <c r="K21" s="20">
        <f t="shared" ref="K21:K64" si="1">J21*18%</f>
        <v>0</v>
      </c>
      <c r="L21" s="21">
        <f t="shared" ref="L21:L64" si="2">J21+K21</f>
        <v>0</v>
      </c>
      <c r="M21" s="2">
        <f t="shared" ref="M21:M63" si="3">I21*F21</f>
        <v>0</v>
      </c>
      <c r="N21" s="2">
        <f t="shared" ref="N21:N63" si="4">L21-M21</f>
        <v>0</v>
      </c>
    </row>
    <row r="22" spans="1:14" ht="61.5" hidden="1" customHeight="1" x14ac:dyDescent="0.35">
      <c r="A22" s="16">
        <v>8000550590631</v>
      </c>
      <c r="B22" s="17" t="s">
        <v>51</v>
      </c>
      <c r="C22" s="17" t="s">
        <v>54</v>
      </c>
      <c r="D22" s="13"/>
      <c r="E22" s="13"/>
      <c r="F22" s="13"/>
      <c r="G22" s="18">
        <v>20</v>
      </c>
      <c r="H22" s="14"/>
      <c r="I22" s="19">
        <v>1956</v>
      </c>
      <c r="J22" s="20">
        <f t="shared" si="0"/>
        <v>0</v>
      </c>
      <c r="K22" s="20">
        <f t="shared" si="1"/>
        <v>0</v>
      </c>
      <c r="L22" s="21">
        <f t="shared" si="2"/>
        <v>0</v>
      </c>
      <c r="M22" s="2">
        <f t="shared" si="3"/>
        <v>0</v>
      </c>
      <c r="N22" s="2">
        <f t="shared" si="4"/>
        <v>0</v>
      </c>
    </row>
    <row r="23" spans="1:14" ht="61.5" hidden="1" customHeight="1" x14ac:dyDescent="0.35">
      <c r="A23" s="16">
        <v>8001430110019</v>
      </c>
      <c r="B23" s="17" t="s">
        <v>51</v>
      </c>
      <c r="C23" s="17" t="s">
        <v>55</v>
      </c>
      <c r="D23" s="13"/>
      <c r="E23" s="13"/>
      <c r="F23" s="13"/>
      <c r="G23" s="18">
        <v>10</v>
      </c>
      <c r="H23" s="14"/>
      <c r="I23" s="19">
        <v>4908</v>
      </c>
      <c r="J23" s="20">
        <f t="shared" si="0"/>
        <v>0</v>
      </c>
      <c r="K23" s="20">
        <f t="shared" si="1"/>
        <v>0</v>
      </c>
      <c r="L23" s="21">
        <f t="shared" si="2"/>
        <v>0</v>
      </c>
      <c r="M23" s="2">
        <f t="shared" si="3"/>
        <v>0</v>
      </c>
      <c r="N23" s="2">
        <f t="shared" si="4"/>
        <v>0</v>
      </c>
    </row>
    <row r="24" spans="1:14" ht="61.5" hidden="1" customHeight="1" x14ac:dyDescent="0.35">
      <c r="A24" s="16">
        <v>8002470032323</v>
      </c>
      <c r="B24" s="17" t="s">
        <v>51</v>
      </c>
      <c r="C24" s="17" t="s">
        <v>56</v>
      </c>
      <c r="D24" s="13"/>
      <c r="E24" s="13"/>
      <c r="F24" s="13"/>
      <c r="G24" s="18">
        <v>4</v>
      </c>
      <c r="H24" s="14"/>
      <c r="I24" s="19">
        <v>10954</v>
      </c>
      <c r="J24" s="20">
        <f t="shared" si="0"/>
        <v>0</v>
      </c>
      <c r="K24" s="20">
        <f t="shared" si="1"/>
        <v>0</v>
      </c>
      <c r="L24" s="21">
        <f t="shared" si="2"/>
        <v>0</v>
      </c>
      <c r="M24" s="2">
        <f t="shared" si="3"/>
        <v>0</v>
      </c>
      <c r="N24" s="2">
        <f t="shared" si="4"/>
        <v>0</v>
      </c>
    </row>
    <row r="25" spans="1:14" ht="61.5" hidden="1" customHeight="1" x14ac:dyDescent="0.35">
      <c r="A25" s="33">
        <v>8001430111030</v>
      </c>
      <c r="B25" s="17" t="s">
        <v>57</v>
      </c>
      <c r="C25" s="17" t="s">
        <v>58</v>
      </c>
      <c r="D25" s="13"/>
      <c r="E25" s="13"/>
      <c r="F25" s="13"/>
      <c r="G25" s="18">
        <v>12</v>
      </c>
      <c r="H25" s="14"/>
      <c r="I25" s="19">
        <v>1439</v>
      </c>
      <c r="J25" s="20">
        <f t="shared" si="0"/>
        <v>0</v>
      </c>
      <c r="K25" s="20">
        <f t="shared" si="1"/>
        <v>0</v>
      </c>
      <c r="L25" s="21">
        <f t="shared" si="2"/>
        <v>0</v>
      </c>
      <c r="M25" s="2">
        <f t="shared" si="3"/>
        <v>0</v>
      </c>
      <c r="N25" s="2">
        <f t="shared" si="4"/>
        <v>0</v>
      </c>
    </row>
    <row r="26" spans="1:14" ht="21" hidden="1" x14ac:dyDescent="0.35">
      <c r="A26" s="16">
        <v>8001430111023</v>
      </c>
      <c r="B26" s="17" t="s">
        <v>57</v>
      </c>
      <c r="C26" s="17" t="s">
        <v>59</v>
      </c>
      <c r="D26" s="13"/>
      <c r="E26" s="13"/>
      <c r="F26" s="13"/>
      <c r="G26" s="18">
        <v>6</v>
      </c>
      <c r="H26" s="14"/>
      <c r="I26" s="19">
        <v>2734</v>
      </c>
      <c r="J26" s="20">
        <f t="shared" si="0"/>
        <v>0</v>
      </c>
      <c r="K26" s="20">
        <f t="shared" si="1"/>
        <v>0</v>
      </c>
      <c r="L26" s="21">
        <f t="shared" si="2"/>
        <v>0</v>
      </c>
      <c r="M26" s="2">
        <f t="shared" si="3"/>
        <v>0</v>
      </c>
      <c r="N26" s="2">
        <f t="shared" si="4"/>
        <v>0</v>
      </c>
    </row>
    <row r="27" spans="1:14" ht="61.5" hidden="1" customHeight="1" x14ac:dyDescent="0.35">
      <c r="A27" s="16">
        <v>8001430111016</v>
      </c>
      <c r="B27" s="17" t="s">
        <v>57</v>
      </c>
      <c r="C27" s="17" t="s">
        <v>55</v>
      </c>
      <c r="D27" s="13"/>
      <c r="E27" s="13"/>
      <c r="F27" s="13"/>
      <c r="G27" s="18">
        <v>6</v>
      </c>
      <c r="H27" s="14"/>
      <c r="I27" s="19">
        <v>5036</v>
      </c>
      <c r="J27" s="20">
        <f t="shared" si="0"/>
        <v>0</v>
      </c>
      <c r="K27" s="20">
        <f t="shared" si="1"/>
        <v>0</v>
      </c>
      <c r="L27" s="21">
        <f t="shared" si="2"/>
        <v>0</v>
      </c>
      <c r="M27" s="2">
        <f t="shared" si="3"/>
        <v>0</v>
      </c>
      <c r="N27" s="2">
        <f t="shared" si="4"/>
        <v>0</v>
      </c>
    </row>
    <row r="28" spans="1:14" ht="61.5" hidden="1" customHeight="1" x14ac:dyDescent="0.35">
      <c r="A28" s="16"/>
      <c r="B28" s="17" t="s">
        <v>60</v>
      </c>
      <c r="C28" s="17" t="s">
        <v>55</v>
      </c>
      <c r="D28" s="13"/>
      <c r="E28" s="13"/>
      <c r="F28" s="13"/>
      <c r="G28" s="18">
        <v>10</v>
      </c>
      <c r="H28" s="14"/>
      <c r="I28" s="19">
        <v>4693</v>
      </c>
      <c r="J28" s="20">
        <f t="shared" si="0"/>
        <v>0</v>
      </c>
      <c r="K28" s="20">
        <f t="shared" si="1"/>
        <v>0</v>
      </c>
      <c r="L28" s="21">
        <f t="shared" si="2"/>
        <v>0</v>
      </c>
      <c r="M28" s="2">
        <f t="shared" si="3"/>
        <v>0</v>
      </c>
      <c r="N28" s="2">
        <f t="shared" si="4"/>
        <v>0</v>
      </c>
    </row>
    <row r="29" spans="1:14" ht="61.5" hidden="1" customHeight="1" x14ac:dyDescent="0.35">
      <c r="A29" s="16">
        <v>8001430111108</v>
      </c>
      <c r="B29" s="17" t="s">
        <v>61</v>
      </c>
      <c r="C29" s="17" t="s">
        <v>58</v>
      </c>
      <c r="D29" s="13"/>
      <c r="E29" s="13"/>
      <c r="F29" s="13"/>
      <c r="G29" s="18">
        <v>12</v>
      </c>
      <c r="H29" s="14"/>
      <c r="I29" s="19">
        <v>1379</v>
      </c>
      <c r="J29" s="20">
        <f t="shared" si="0"/>
        <v>0</v>
      </c>
      <c r="K29" s="20">
        <f t="shared" si="1"/>
        <v>0</v>
      </c>
      <c r="L29" s="21">
        <f t="shared" si="2"/>
        <v>0</v>
      </c>
      <c r="M29" s="2">
        <f t="shared" si="3"/>
        <v>0</v>
      </c>
      <c r="N29" s="2">
        <f t="shared" si="4"/>
        <v>0</v>
      </c>
    </row>
    <row r="30" spans="1:14" ht="61.5" hidden="1" customHeight="1" x14ac:dyDescent="0.35">
      <c r="A30" s="16">
        <v>8001430111078</v>
      </c>
      <c r="B30" s="17" t="s">
        <v>61</v>
      </c>
      <c r="C30" s="17" t="s">
        <v>59</v>
      </c>
      <c r="D30" s="13"/>
      <c r="E30" s="13"/>
      <c r="F30" s="13"/>
      <c r="G30" s="18">
        <v>6</v>
      </c>
      <c r="H30" s="14"/>
      <c r="I30" s="19">
        <v>2847</v>
      </c>
      <c r="J30" s="20">
        <f t="shared" si="0"/>
        <v>0</v>
      </c>
      <c r="K30" s="20">
        <f t="shared" si="1"/>
        <v>0</v>
      </c>
      <c r="L30" s="21">
        <f t="shared" si="2"/>
        <v>0</v>
      </c>
      <c r="M30" s="2">
        <f t="shared" si="3"/>
        <v>0</v>
      </c>
      <c r="N30" s="2">
        <f t="shared" si="4"/>
        <v>0</v>
      </c>
    </row>
    <row r="31" spans="1:14" ht="61.5" hidden="1" customHeight="1" x14ac:dyDescent="0.35">
      <c r="A31" s="16">
        <v>8001430111047</v>
      </c>
      <c r="B31" s="17" t="s">
        <v>61</v>
      </c>
      <c r="C31" s="17" t="s">
        <v>55</v>
      </c>
      <c r="D31" s="13"/>
      <c r="E31" s="13"/>
      <c r="F31" s="13"/>
      <c r="G31" s="18">
        <v>6</v>
      </c>
      <c r="H31" s="14"/>
      <c r="I31" s="19">
        <v>5233</v>
      </c>
      <c r="J31" s="20">
        <f t="shared" si="0"/>
        <v>0</v>
      </c>
      <c r="K31" s="20">
        <f t="shared" si="1"/>
        <v>0</v>
      </c>
      <c r="L31" s="21">
        <f t="shared" si="2"/>
        <v>0</v>
      </c>
      <c r="M31" s="2">
        <f t="shared" si="3"/>
        <v>0</v>
      </c>
      <c r="N31" s="2">
        <f t="shared" si="4"/>
        <v>0</v>
      </c>
    </row>
    <row r="32" spans="1:14" ht="61.5" hidden="1" customHeight="1" x14ac:dyDescent="0.35">
      <c r="A32" s="22"/>
      <c r="B32" s="13"/>
      <c r="C32" s="13"/>
      <c r="D32" s="13"/>
      <c r="E32" s="13"/>
      <c r="F32" s="13">
        <f t="shared" ref="F32:F56" si="5">G32*E32</f>
        <v>0</v>
      </c>
      <c r="G32" s="23">
        <v>12</v>
      </c>
      <c r="H32" s="14"/>
      <c r="I32" s="23">
        <v>714</v>
      </c>
      <c r="J32" s="20">
        <f t="shared" si="0"/>
        <v>0</v>
      </c>
      <c r="K32" s="20">
        <f t="shared" si="1"/>
        <v>0</v>
      </c>
      <c r="L32" s="21">
        <f t="shared" si="2"/>
        <v>0</v>
      </c>
      <c r="M32" s="2">
        <f t="shared" si="3"/>
        <v>0</v>
      </c>
      <c r="N32" s="2">
        <f t="shared" si="4"/>
        <v>0</v>
      </c>
    </row>
    <row r="33" spans="1:14" ht="21" hidden="1" x14ac:dyDescent="0.35">
      <c r="A33" s="22"/>
      <c r="B33" s="13"/>
      <c r="C33" s="13"/>
      <c r="D33" s="13"/>
      <c r="E33" s="13"/>
      <c r="F33" s="13">
        <f t="shared" si="5"/>
        <v>0</v>
      </c>
      <c r="G33" s="23">
        <v>12</v>
      </c>
      <c r="H33" s="14"/>
      <c r="I33" s="23">
        <v>714</v>
      </c>
      <c r="J33" s="20">
        <f t="shared" ref="J33:J56" si="6">(I33/1.25)*F33</f>
        <v>0</v>
      </c>
      <c r="K33" s="20">
        <f t="shared" si="1"/>
        <v>0</v>
      </c>
      <c r="L33" s="21">
        <f t="shared" si="2"/>
        <v>0</v>
      </c>
      <c r="M33" s="2">
        <f t="shared" si="3"/>
        <v>0</v>
      </c>
      <c r="N33" s="2">
        <f t="shared" si="4"/>
        <v>0</v>
      </c>
    </row>
    <row r="34" spans="1:14" ht="61.5" hidden="1" customHeight="1" x14ac:dyDescent="0.35">
      <c r="A34" s="22">
        <v>8410159270074</v>
      </c>
      <c r="B34" s="13" t="s">
        <v>20</v>
      </c>
      <c r="C34" s="13" t="s">
        <v>21</v>
      </c>
      <c r="D34" s="13" t="s">
        <v>22</v>
      </c>
      <c r="E34" s="13"/>
      <c r="F34" s="13">
        <f t="shared" si="5"/>
        <v>0</v>
      </c>
      <c r="G34" s="23">
        <v>12</v>
      </c>
      <c r="H34" s="14"/>
      <c r="I34" s="23">
        <v>749</v>
      </c>
      <c r="J34" s="20">
        <f t="shared" si="6"/>
        <v>0</v>
      </c>
      <c r="K34" s="20">
        <f t="shared" si="1"/>
        <v>0</v>
      </c>
      <c r="L34" s="21">
        <f t="shared" si="2"/>
        <v>0</v>
      </c>
      <c r="M34" s="2">
        <f t="shared" si="3"/>
        <v>0</v>
      </c>
      <c r="N34" s="2">
        <f t="shared" si="4"/>
        <v>0</v>
      </c>
    </row>
    <row r="35" spans="1:14" ht="21" hidden="1" x14ac:dyDescent="0.35">
      <c r="A35" s="22">
        <v>8410159267070</v>
      </c>
      <c r="B35" s="13" t="s">
        <v>23</v>
      </c>
      <c r="C35" s="13" t="s">
        <v>21</v>
      </c>
      <c r="D35" s="13" t="s">
        <v>22</v>
      </c>
      <c r="E35" s="13"/>
      <c r="F35" s="13">
        <f t="shared" si="5"/>
        <v>0</v>
      </c>
      <c r="G35" s="23">
        <v>12</v>
      </c>
      <c r="H35" s="14"/>
      <c r="I35" s="23">
        <v>749</v>
      </c>
      <c r="J35" s="20">
        <f t="shared" si="6"/>
        <v>0</v>
      </c>
      <c r="K35" s="20">
        <f t="shared" si="1"/>
        <v>0</v>
      </c>
      <c r="L35" s="21">
        <f t="shared" si="2"/>
        <v>0</v>
      </c>
      <c r="M35" s="2">
        <f t="shared" si="3"/>
        <v>0</v>
      </c>
      <c r="N35" s="2">
        <f t="shared" si="4"/>
        <v>0</v>
      </c>
    </row>
    <row r="36" spans="1:14" ht="21" hidden="1" x14ac:dyDescent="0.35">
      <c r="A36" s="22">
        <v>8401059047375</v>
      </c>
      <c r="B36" s="13" t="s">
        <v>24</v>
      </c>
      <c r="C36" s="13" t="s">
        <v>21</v>
      </c>
      <c r="D36" s="13" t="s">
        <v>25</v>
      </c>
      <c r="E36" s="13"/>
      <c r="F36" s="13">
        <f t="shared" si="5"/>
        <v>0</v>
      </c>
      <c r="G36" s="23">
        <v>12</v>
      </c>
      <c r="H36" s="14"/>
      <c r="I36" s="23">
        <v>830</v>
      </c>
      <c r="J36" s="20">
        <f t="shared" si="6"/>
        <v>0</v>
      </c>
      <c r="K36" s="20">
        <f t="shared" si="1"/>
        <v>0</v>
      </c>
      <c r="L36" s="21">
        <f t="shared" si="2"/>
        <v>0</v>
      </c>
      <c r="M36" s="2">
        <f t="shared" si="3"/>
        <v>0</v>
      </c>
      <c r="N36" s="2">
        <f t="shared" si="4"/>
        <v>0</v>
      </c>
    </row>
    <row r="37" spans="1:14" ht="21" hidden="1" x14ac:dyDescent="0.35">
      <c r="A37" s="22">
        <v>8410159044084</v>
      </c>
      <c r="B37" s="13" t="s">
        <v>26</v>
      </c>
      <c r="C37" s="13" t="s">
        <v>21</v>
      </c>
      <c r="D37" s="13" t="s">
        <v>25</v>
      </c>
      <c r="E37" s="13"/>
      <c r="F37" s="13">
        <f t="shared" si="5"/>
        <v>0</v>
      </c>
      <c r="G37" s="23">
        <v>12</v>
      </c>
      <c r="H37" s="14"/>
      <c r="I37" s="23">
        <v>830</v>
      </c>
      <c r="J37" s="20">
        <f t="shared" si="6"/>
        <v>0</v>
      </c>
      <c r="K37" s="20">
        <f t="shared" si="1"/>
        <v>0</v>
      </c>
      <c r="L37" s="21">
        <f t="shared" si="2"/>
        <v>0</v>
      </c>
      <c r="M37" s="2">
        <f t="shared" si="3"/>
        <v>0</v>
      </c>
      <c r="N37" s="2">
        <f t="shared" si="4"/>
        <v>0</v>
      </c>
    </row>
    <row r="38" spans="1:14" ht="61.5" hidden="1" customHeight="1" x14ac:dyDescent="0.35">
      <c r="A38" s="22">
        <v>8410159016586</v>
      </c>
      <c r="B38" s="13" t="s">
        <v>27</v>
      </c>
      <c r="C38" s="13" t="s">
        <v>21</v>
      </c>
      <c r="D38" s="13" t="s">
        <v>25</v>
      </c>
      <c r="E38" s="13"/>
      <c r="F38" s="13">
        <f t="shared" si="5"/>
        <v>0</v>
      </c>
      <c r="G38" s="23">
        <v>12</v>
      </c>
      <c r="H38" s="39"/>
      <c r="I38" s="23">
        <v>830</v>
      </c>
      <c r="J38" s="20">
        <f t="shared" si="6"/>
        <v>0</v>
      </c>
      <c r="K38" s="20">
        <f t="shared" si="1"/>
        <v>0</v>
      </c>
      <c r="L38" s="21">
        <f t="shared" si="2"/>
        <v>0</v>
      </c>
      <c r="M38" s="2">
        <f t="shared" si="3"/>
        <v>0</v>
      </c>
      <c r="N38" s="2">
        <f t="shared" si="4"/>
        <v>0</v>
      </c>
    </row>
    <row r="39" spans="1:14" ht="61.5" hidden="1" customHeight="1" x14ac:dyDescent="0.35">
      <c r="A39" s="22"/>
      <c r="B39" s="40" t="s">
        <v>28</v>
      </c>
      <c r="C39" s="40" t="s">
        <v>29</v>
      </c>
      <c r="D39" s="40" t="s">
        <v>30</v>
      </c>
      <c r="E39" s="13"/>
      <c r="F39" s="13">
        <f t="shared" si="5"/>
        <v>0</v>
      </c>
      <c r="G39" s="38">
        <v>12</v>
      </c>
      <c r="H39" s="39"/>
      <c r="I39" s="38">
        <v>897</v>
      </c>
      <c r="J39" s="20">
        <f t="shared" si="6"/>
        <v>0</v>
      </c>
      <c r="K39" s="20">
        <f t="shared" si="1"/>
        <v>0</v>
      </c>
      <c r="L39" s="21">
        <f t="shared" si="2"/>
        <v>0</v>
      </c>
      <c r="M39" s="2">
        <f t="shared" si="3"/>
        <v>0</v>
      </c>
      <c r="N39" s="2">
        <f t="shared" si="4"/>
        <v>0</v>
      </c>
    </row>
    <row r="40" spans="1:14" ht="61.5" hidden="1" customHeight="1" x14ac:dyDescent="0.35">
      <c r="A40" s="22">
        <v>8410159048969</v>
      </c>
      <c r="B40" s="40"/>
      <c r="C40" s="40"/>
      <c r="D40" s="40"/>
      <c r="E40" s="13"/>
      <c r="F40" s="13">
        <f t="shared" si="5"/>
        <v>0</v>
      </c>
      <c r="G40" s="38"/>
      <c r="H40" s="14"/>
      <c r="I40" s="38"/>
      <c r="J40" s="20">
        <f t="shared" si="6"/>
        <v>0</v>
      </c>
      <c r="K40" s="20">
        <f t="shared" si="1"/>
        <v>0</v>
      </c>
      <c r="L40" s="21">
        <f t="shared" si="2"/>
        <v>0</v>
      </c>
      <c r="M40" s="2">
        <f t="shared" si="3"/>
        <v>0</v>
      </c>
      <c r="N40" s="2">
        <f t="shared" si="4"/>
        <v>0</v>
      </c>
    </row>
    <row r="41" spans="1:14" ht="21" hidden="1" x14ac:dyDescent="0.35">
      <c r="A41" s="22">
        <v>8410159048976</v>
      </c>
      <c r="B41" s="13" t="s">
        <v>31</v>
      </c>
      <c r="C41" s="13" t="s">
        <v>29</v>
      </c>
      <c r="D41" s="13" t="s">
        <v>30</v>
      </c>
      <c r="E41" s="13"/>
      <c r="F41" s="13">
        <f t="shared" si="5"/>
        <v>0</v>
      </c>
      <c r="G41" s="23">
        <v>12</v>
      </c>
      <c r="H41" s="14"/>
      <c r="I41" s="23">
        <v>897</v>
      </c>
      <c r="J41" s="20">
        <f t="shared" si="6"/>
        <v>0</v>
      </c>
      <c r="K41" s="20">
        <f t="shared" si="1"/>
        <v>0</v>
      </c>
      <c r="L41" s="21">
        <f t="shared" si="2"/>
        <v>0</v>
      </c>
      <c r="M41" s="2">
        <f t="shared" si="3"/>
        <v>0</v>
      </c>
      <c r="N41" s="2">
        <f t="shared" si="4"/>
        <v>0</v>
      </c>
    </row>
    <row r="42" spans="1:14" ht="61.5" hidden="1" customHeight="1" x14ac:dyDescent="0.35">
      <c r="A42" s="22">
        <v>8410159270056</v>
      </c>
      <c r="B42" s="13" t="s">
        <v>32</v>
      </c>
      <c r="C42" s="13" t="s">
        <v>29</v>
      </c>
      <c r="D42" s="13" t="s">
        <v>33</v>
      </c>
      <c r="E42" s="13"/>
      <c r="F42" s="13">
        <f t="shared" si="5"/>
        <v>0</v>
      </c>
      <c r="G42" s="23">
        <v>12</v>
      </c>
      <c r="H42" s="39"/>
      <c r="I42" s="23">
        <v>926</v>
      </c>
      <c r="J42" s="20">
        <f t="shared" si="6"/>
        <v>0</v>
      </c>
      <c r="K42" s="20">
        <f t="shared" si="1"/>
        <v>0</v>
      </c>
      <c r="L42" s="21">
        <f t="shared" si="2"/>
        <v>0</v>
      </c>
      <c r="M42" s="2">
        <f t="shared" si="3"/>
        <v>0</v>
      </c>
      <c r="N42" s="2">
        <f t="shared" si="4"/>
        <v>0</v>
      </c>
    </row>
    <row r="43" spans="1:14" ht="61.5" hidden="1" customHeight="1" x14ac:dyDescent="0.35">
      <c r="A43" s="22"/>
      <c r="B43" s="14"/>
      <c r="C43" s="40" t="s">
        <v>29</v>
      </c>
      <c r="D43" s="40" t="s">
        <v>33</v>
      </c>
      <c r="E43" s="13"/>
      <c r="F43" s="13">
        <f t="shared" si="5"/>
        <v>0</v>
      </c>
      <c r="G43" s="38">
        <v>12</v>
      </c>
      <c r="H43" s="39"/>
      <c r="I43" s="38">
        <v>926</v>
      </c>
      <c r="J43" s="20">
        <f t="shared" si="6"/>
        <v>0</v>
      </c>
      <c r="K43" s="20">
        <f t="shared" si="1"/>
        <v>0</v>
      </c>
      <c r="L43" s="21">
        <f t="shared" si="2"/>
        <v>0</v>
      </c>
      <c r="M43" s="2">
        <f t="shared" si="3"/>
        <v>0</v>
      </c>
      <c r="N43" s="2">
        <f t="shared" si="4"/>
        <v>0</v>
      </c>
    </row>
    <row r="44" spans="1:14" ht="20.5" hidden="1" x14ac:dyDescent="0.35">
      <c r="A44" s="22">
        <v>84101267056</v>
      </c>
      <c r="B44" s="13" t="s">
        <v>34</v>
      </c>
      <c r="C44" s="40"/>
      <c r="D44" s="40"/>
      <c r="E44" s="13"/>
      <c r="F44" s="13">
        <f t="shared" si="5"/>
        <v>0</v>
      </c>
      <c r="G44" s="38"/>
      <c r="H44" s="39"/>
      <c r="I44" s="38"/>
      <c r="J44" s="20">
        <f t="shared" si="6"/>
        <v>0</v>
      </c>
      <c r="K44" s="20">
        <f t="shared" si="1"/>
        <v>0</v>
      </c>
      <c r="L44" s="21">
        <f t="shared" si="2"/>
        <v>0</v>
      </c>
      <c r="M44" s="2">
        <f t="shared" si="3"/>
        <v>0</v>
      </c>
      <c r="N44" s="2">
        <f t="shared" si="4"/>
        <v>0</v>
      </c>
    </row>
    <row r="45" spans="1:14" ht="21" hidden="1" x14ac:dyDescent="0.35">
      <c r="A45" s="22">
        <v>8410159047368</v>
      </c>
      <c r="B45" s="14" t="s">
        <v>24</v>
      </c>
      <c r="C45" s="40" t="s">
        <v>29</v>
      </c>
      <c r="D45" s="40" t="s">
        <v>35</v>
      </c>
      <c r="E45" s="13"/>
      <c r="F45" s="13">
        <f t="shared" si="5"/>
        <v>0</v>
      </c>
      <c r="G45" s="38">
        <v>12</v>
      </c>
      <c r="H45" s="39"/>
      <c r="I45" s="38">
        <v>1030</v>
      </c>
      <c r="J45" s="20">
        <f t="shared" si="6"/>
        <v>0</v>
      </c>
      <c r="K45" s="20">
        <f t="shared" si="1"/>
        <v>0</v>
      </c>
      <c r="L45" s="21">
        <f t="shared" si="2"/>
        <v>0</v>
      </c>
      <c r="M45" s="2">
        <f t="shared" si="3"/>
        <v>0</v>
      </c>
      <c r="N45" s="2">
        <f t="shared" si="4"/>
        <v>0</v>
      </c>
    </row>
    <row r="46" spans="1:14" ht="21" hidden="1" x14ac:dyDescent="0.35">
      <c r="A46" s="22"/>
      <c r="B46" s="14"/>
      <c r="C46" s="40"/>
      <c r="D46" s="40"/>
      <c r="E46" s="13"/>
      <c r="F46" s="13">
        <f t="shared" si="5"/>
        <v>0</v>
      </c>
      <c r="G46" s="38"/>
      <c r="H46" s="14"/>
      <c r="I46" s="38"/>
      <c r="J46" s="20">
        <f t="shared" si="6"/>
        <v>0</v>
      </c>
      <c r="K46" s="20">
        <f t="shared" si="1"/>
        <v>0</v>
      </c>
      <c r="L46" s="21">
        <f t="shared" si="2"/>
        <v>0</v>
      </c>
      <c r="M46" s="2">
        <f t="shared" si="3"/>
        <v>0</v>
      </c>
      <c r="N46" s="2">
        <f t="shared" si="4"/>
        <v>0</v>
      </c>
    </row>
    <row r="47" spans="1:14" ht="21" hidden="1" x14ac:dyDescent="0.35">
      <c r="A47" s="22">
        <v>8410159038274</v>
      </c>
      <c r="B47" s="13" t="s">
        <v>36</v>
      </c>
      <c r="C47" s="13" t="s">
        <v>29</v>
      </c>
      <c r="D47" s="13" t="s">
        <v>35</v>
      </c>
      <c r="E47" s="13"/>
      <c r="F47" s="13">
        <f t="shared" si="5"/>
        <v>0</v>
      </c>
      <c r="G47" s="23">
        <v>12</v>
      </c>
      <c r="H47" s="14"/>
      <c r="I47" s="13">
        <v>1030</v>
      </c>
      <c r="J47" s="20">
        <f t="shared" si="6"/>
        <v>0</v>
      </c>
      <c r="K47" s="20">
        <f t="shared" si="1"/>
        <v>0</v>
      </c>
      <c r="L47" s="21">
        <f t="shared" si="2"/>
        <v>0</v>
      </c>
      <c r="M47" s="2">
        <f t="shared" si="3"/>
        <v>0</v>
      </c>
      <c r="N47" s="2">
        <f t="shared" si="4"/>
        <v>0</v>
      </c>
    </row>
    <row r="48" spans="1:14" ht="21" hidden="1" x14ac:dyDescent="0.35">
      <c r="A48" s="22">
        <v>8410159044336</v>
      </c>
      <c r="B48" s="13" t="s">
        <v>37</v>
      </c>
      <c r="C48" s="13" t="s">
        <v>29</v>
      </c>
      <c r="D48" s="13" t="s">
        <v>35</v>
      </c>
      <c r="E48" s="13"/>
      <c r="F48" s="13">
        <f t="shared" si="5"/>
        <v>0</v>
      </c>
      <c r="G48" s="23">
        <v>12</v>
      </c>
      <c r="H48" s="14"/>
      <c r="I48" s="23">
        <v>1009</v>
      </c>
      <c r="J48" s="20">
        <f t="shared" si="6"/>
        <v>0</v>
      </c>
      <c r="K48" s="20">
        <f t="shared" si="1"/>
        <v>0</v>
      </c>
      <c r="L48" s="21">
        <f t="shared" si="2"/>
        <v>0</v>
      </c>
      <c r="M48" s="2">
        <f t="shared" si="3"/>
        <v>0</v>
      </c>
      <c r="N48" s="2">
        <f t="shared" si="4"/>
        <v>0</v>
      </c>
    </row>
    <row r="49" spans="1:14" ht="21" hidden="1" x14ac:dyDescent="0.35">
      <c r="A49" s="22">
        <v>8410159003074</v>
      </c>
      <c r="B49" s="13" t="s">
        <v>28</v>
      </c>
      <c r="C49" s="13" t="s">
        <v>38</v>
      </c>
      <c r="D49" s="13" t="s">
        <v>29</v>
      </c>
      <c r="E49" s="13"/>
      <c r="F49" s="13">
        <f t="shared" si="5"/>
        <v>0</v>
      </c>
      <c r="G49" s="23">
        <v>6</v>
      </c>
      <c r="H49" s="14"/>
      <c r="I49" s="23">
        <v>1756</v>
      </c>
      <c r="J49" s="20">
        <f t="shared" si="6"/>
        <v>0</v>
      </c>
      <c r="K49" s="20">
        <f t="shared" si="1"/>
        <v>0</v>
      </c>
      <c r="L49" s="21">
        <f t="shared" si="2"/>
        <v>0</v>
      </c>
      <c r="M49" s="2">
        <f t="shared" si="3"/>
        <v>0</v>
      </c>
      <c r="N49" s="2">
        <f t="shared" si="4"/>
        <v>0</v>
      </c>
    </row>
    <row r="50" spans="1:14" ht="61.5" hidden="1" customHeight="1" x14ac:dyDescent="0.35">
      <c r="A50" s="22">
        <v>8410159044107</v>
      </c>
      <c r="B50" s="13" t="s">
        <v>31</v>
      </c>
      <c r="C50" s="13" t="s">
        <v>38</v>
      </c>
      <c r="D50" s="13" t="s">
        <v>29</v>
      </c>
      <c r="E50" s="13"/>
      <c r="F50" s="13">
        <f t="shared" si="5"/>
        <v>0</v>
      </c>
      <c r="G50" s="13">
        <v>6</v>
      </c>
      <c r="H50" s="14"/>
      <c r="I50" s="23">
        <v>1756</v>
      </c>
      <c r="J50" s="20">
        <f t="shared" si="6"/>
        <v>0</v>
      </c>
      <c r="K50" s="20">
        <f t="shared" si="1"/>
        <v>0</v>
      </c>
      <c r="L50" s="21">
        <f t="shared" si="2"/>
        <v>0</v>
      </c>
      <c r="M50" s="2">
        <f t="shared" si="3"/>
        <v>0</v>
      </c>
      <c r="N50" s="2">
        <f t="shared" si="4"/>
        <v>0</v>
      </c>
    </row>
    <row r="51" spans="1:14" ht="21" hidden="1" x14ac:dyDescent="0.35">
      <c r="A51" s="22">
        <v>8410159270025</v>
      </c>
      <c r="B51" s="13" t="s">
        <v>20</v>
      </c>
      <c r="C51" s="13" t="s">
        <v>38</v>
      </c>
      <c r="D51" s="13" t="s">
        <v>39</v>
      </c>
      <c r="E51" s="13"/>
      <c r="F51" s="13">
        <f t="shared" si="5"/>
        <v>0</v>
      </c>
      <c r="G51" s="23">
        <v>6</v>
      </c>
      <c r="H51" s="14"/>
      <c r="I51" s="23">
        <v>1831</v>
      </c>
      <c r="J51" s="20">
        <f t="shared" si="6"/>
        <v>0</v>
      </c>
      <c r="K51" s="20">
        <f t="shared" si="1"/>
        <v>0</v>
      </c>
      <c r="L51" s="21">
        <f t="shared" si="2"/>
        <v>0</v>
      </c>
      <c r="M51" s="2">
        <f t="shared" si="3"/>
        <v>0</v>
      </c>
      <c r="N51" s="2">
        <f t="shared" si="4"/>
        <v>0</v>
      </c>
    </row>
    <row r="52" spans="1:14" ht="21" hidden="1" x14ac:dyDescent="0.35">
      <c r="A52" s="22">
        <v>8410159046170</v>
      </c>
      <c r="B52" s="13" t="s">
        <v>34</v>
      </c>
      <c r="C52" s="13" t="s">
        <v>38</v>
      </c>
      <c r="D52" s="13" t="s">
        <v>39</v>
      </c>
      <c r="E52" s="13"/>
      <c r="F52" s="13">
        <f t="shared" si="5"/>
        <v>0</v>
      </c>
      <c r="G52" s="23">
        <v>6</v>
      </c>
      <c r="H52" s="14"/>
      <c r="I52" s="23">
        <v>1831</v>
      </c>
      <c r="J52" s="20">
        <f t="shared" si="6"/>
        <v>0</v>
      </c>
      <c r="K52" s="20">
        <f t="shared" si="1"/>
        <v>0</v>
      </c>
      <c r="L52" s="21">
        <f t="shared" si="2"/>
        <v>0</v>
      </c>
      <c r="M52" s="2">
        <f t="shared" si="3"/>
        <v>0</v>
      </c>
      <c r="N52" s="2">
        <f t="shared" si="4"/>
        <v>0</v>
      </c>
    </row>
    <row r="53" spans="1:14" ht="61.5" hidden="1" customHeight="1" x14ac:dyDescent="0.35">
      <c r="A53" s="22">
        <v>8410159047351</v>
      </c>
      <c r="B53" s="13" t="s">
        <v>40</v>
      </c>
      <c r="C53" s="13" t="s">
        <v>38</v>
      </c>
      <c r="D53" s="13" t="s">
        <v>41</v>
      </c>
      <c r="E53" s="13"/>
      <c r="F53" s="13">
        <f t="shared" si="5"/>
        <v>0</v>
      </c>
      <c r="G53" s="23">
        <v>6</v>
      </c>
      <c r="H53" s="14"/>
      <c r="I53" s="23">
        <v>1842</v>
      </c>
      <c r="J53" s="20">
        <f t="shared" si="6"/>
        <v>0</v>
      </c>
      <c r="K53" s="20">
        <f t="shared" si="1"/>
        <v>0</v>
      </c>
      <c r="L53" s="21">
        <f t="shared" si="2"/>
        <v>0</v>
      </c>
      <c r="M53" s="2">
        <f t="shared" si="3"/>
        <v>0</v>
      </c>
      <c r="N53" s="2">
        <f t="shared" si="4"/>
        <v>0</v>
      </c>
    </row>
    <row r="54" spans="1:14" ht="61.5" hidden="1" customHeight="1" x14ac:dyDescent="0.35">
      <c r="A54" s="22">
        <v>8410159044091</v>
      </c>
      <c r="B54" s="13" t="s">
        <v>26</v>
      </c>
      <c r="C54" s="13" t="s">
        <v>38</v>
      </c>
      <c r="D54" s="13" t="s">
        <v>41</v>
      </c>
      <c r="E54" s="13"/>
      <c r="F54" s="13">
        <f t="shared" si="5"/>
        <v>0</v>
      </c>
      <c r="G54" s="23">
        <v>6</v>
      </c>
      <c r="H54" s="14"/>
      <c r="I54" s="23">
        <v>1842</v>
      </c>
      <c r="J54" s="20">
        <f t="shared" si="6"/>
        <v>0</v>
      </c>
      <c r="K54" s="20">
        <f t="shared" si="1"/>
        <v>0</v>
      </c>
      <c r="L54" s="21">
        <f t="shared" si="2"/>
        <v>0</v>
      </c>
      <c r="M54" s="2">
        <f t="shared" si="3"/>
        <v>0</v>
      </c>
      <c r="N54" s="2">
        <f t="shared" si="4"/>
        <v>0</v>
      </c>
    </row>
    <row r="55" spans="1:14" ht="21" hidden="1" x14ac:dyDescent="0.35">
      <c r="A55" s="22">
        <v>8410159017156</v>
      </c>
      <c r="B55" s="13" t="s">
        <v>37</v>
      </c>
      <c r="C55" s="13" t="s">
        <v>38</v>
      </c>
      <c r="D55" s="13" t="s">
        <v>41</v>
      </c>
      <c r="E55" s="13"/>
      <c r="F55" s="13">
        <f t="shared" si="5"/>
        <v>0</v>
      </c>
      <c r="G55" s="23">
        <v>6</v>
      </c>
      <c r="H55" s="14"/>
      <c r="I55" s="23">
        <v>1900</v>
      </c>
      <c r="J55" s="20">
        <f t="shared" si="6"/>
        <v>0</v>
      </c>
      <c r="K55" s="20">
        <f t="shared" si="1"/>
        <v>0</v>
      </c>
      <c r="L55" s="21">
        <f t="shared" si="2"/>
        <v>0</v>
      </c>
      <c r="M55" s="2">
        <f t="shared" si="3"/>
        <v>0</v>
      </c>
      <c r="N55" s="2">
        <f t="shared" si="4"/>
        <v>0</v>
      </c>
    </row>
    <row r="56" spans="1:14" ht="21" hidden="1" x14ac:dyDescent="0.35">
      <c r="A56" s="22">
        <v>8410159092955</v>
      </c>
      <c r="B56" s="13" t="s">
        <v>34</v>
      </c>
      <c r="C56" s="13" t="s">
        <v>42</v>
      </c>
      <c r="D56" s="13" t="s">
        <v>43</v>
      </c>
      <c r="E56" s="13"/>
      <c r="F56" s="13">
        <f t="shared" si="5"/>
        <v>0</v>
      </c>
      <c r="G56" s="23">
        <v>6</v>
      </c>
      <c r="H56" s="14"/>
      <c r="I56" s="23">
        <v>3110</v>
      </c>
      <c r="J56" s="20">
        <f t="shared" si="6"/>
        <v>0</v>
      </c>
      <c r="K56" s="20">
        <f t="shared" si="1"/>
        <v>0</v>
      </c>
      <c r="L56" s="21">
        <f t="shared" si="2"/>
        <v>0</v>
      </c>
      <c r="M56" s="2">
        <f t="shared" si="3"/>
        <v>0</v>
      </c>
      <c r="N56" s="2">
        <f t="shared" si="4"/>
        <v>0</v>
      </c>
    </row>
    <row r="57" spans="1:14" ht="18.649999999999999" customHeight="1" x14ac:dyDescent="0.5">
      <c r="A57" s="16">
        <v>88008226</v>
      </c>
      <c r="B57" s="17" t="s">
        <v>68</v>
      </c>
      <c r="C57" s="17" t="s">
        <v>73</v>
      </c>
      <c r="D57" s="17" t="s">
        <v>67</v>
      </c>
      <c r="E57" s="24"/>
      <c r="F57" s="13">
        <v>54</v>
      </c>
      <c r="G57" s="24">
        <v>18</v>
      </c>
      <c r="H57" s="24"/>
      <c r="I57" s="24">
        <v>785</v>
      </c>
      <c r="J57" s="20">
        <f>(I57/1.18)*F57</f>
        <v>35923.728813559326</v>
      </c>
      <c r="K57" s="20">
        <f t="shared" si="1"/>
        <v>6466.2711864406783</v>
      </c>
      <c r="L57" s="21">
        <f t="shared" si="2"/>
        <v>42390.000000000007</v>
      </c>
      <c r="M57" s="2">
        <f t="shared" si="3"/>
        <v>42390</v>
      </c>
      <c r="N57" s="2">
        <f t="shared" si="4"/>
        <v>0</v>
      </c>
    </row>
    <row r="58" spans="1:14" ht="21" x14ac:dyDescent="0.35">
      <c r="A58" s="16">
        <v>5760466744027</v>
      </c>
      <c r="B58" s="17" t="s">
        <v>76</v>
      </c>
      <c r="C58" s="17" t="s">
        <v>77</v>
      </c>
      <c r="D58" s="13"/>
      <c r="E58" s="13"/>
      <c r="F58" s="13"/>
      <c r="G58" s="23">
        <v>24</v>
      </c>
      <c r="H58" s="14"/>
      <c r="I58" s="23">
        <v>910</v>
      </c>
      <c r="J58" s="20">
        <f>(I58/1.18)*F58</f>
        <v>0</v>
      </c>
      <c r="K58" s="20">
        <f t="shared" si="1"/>
        <v>0</v>
      </c>
      <c r="L58" s="21">
        <f t="shared" si="2"/>
        <v>0</v>
      </c>
      <c r="M58" s="2">
        <f t="shared" si="3"/>
        <v>0</v>
      </c>
      <c r="N58" s="2">
        <f t="shared" si="4"/>
        <v>0</v>
      </c>
    </row>
    <row r="59" spans="1:14" ht="21" x14ac:dyDescent="0.5">
      <c r="A59" s="25">
        <v>5760466882521</v>
      </c>
      <c r="B59" s="24" t="s">
        <v>78</v>
      </c>
      <c r="C59" s="24" t="s">
        <v>79</v>
      </c>
      <c r="D59" s="13"/>
      <c r="E59" s="13"/>
      <c r="F59" s="13"/>
      <c r="G59" s="23">
        <v>24</v>
      </c>
      <c r="H59" s="14"/>
      <c r="I59" s="23">
        <v>1160</v>
      </c>
      <c r="J59" s="20">
        <f t="shared" ref="J59" si="7">(I59/1.18)*F59</f>
        <v>0</v>
      </c>
      <c r="K59" s="20">
        <f t="shared" si="1"/>
        <v>0</v>
      </c>
      <c r="L59" s="21">
        <f t="shared" si="2"/>
        <v>0</v>
      </c>
      <c r="M59" s="2">
        <f t="shared" si="3"/>
        <v>0</v>
      </c>
      <c r="N59" s="2">
        <f t="shared" si="4"/>
        <v>0</v>
      </c>
    </row>
    <row r="60" spans="1:14" ht="19" customHeight="1" x14ac:dyDescent="0.5">
      <c r="A60" s="25">
        <v>5760466732567</v>
      </c>
      <c r="B60" s="24" t="s">
        <v>66</v>
      </c>
      <c r="C60" s="26" t="s">
        <v>74</v>
      </c>
      <c r="D60" s="26" t="s">
        <v>25</v>
      </c>
      <c r="E60" s="26"/>
      <c r="F60" s="13">
        <v>40</v>
      </c>
      <c r="G60" s="26">
        <v>20</v>
      </c>
      <c r="H60" s="26" t="s">
        <v>45</v>
      </c>
      <c r="I60" s="24">
        <v>1000</v>
      </c>
      <c r="J60" s="20">
        <f t="shared" ref="J60:J64" si="8">(I60/1.18)*F60</f>
        <v>33898.305084745763</v>
      </c>
      <c r="K60" s="20">
        <f t="shared" si="1"/>
        <v>6101.6949152542375</v>
      </c>
      <c r="L60" s="21">
        <f t="shared" si="2"/>
        <v>40000</v>
      </c>
      <c r="M60" s="2">
        <f t="shared" si="3"/>
        <v>40000</v>
      </c>
      <c r="N60" s="2">
        <f t="shared" si="4"/>
        <v>0</v>
      </c>
    </row>
    <row r="61" spans="1:14" ht="19.25" customHeight="1" x14ac:dyDescent="0.5">
      <c r="A61" s="35">
        <v>5711953046469</v>
      </c>
      <c r="B61" s="24" t="s">
        <v>69</v>
      </c>
      <c r="C61" s="24" t="s">
        <v>75</v>
      </c>
      <c r="D61" s="24" t="s">
        <v>70</v>
      </c>
      <c r="E61" s="24"/>
      <c r="F61" s="13"/>
      <c r="G61" s="24">
        <v>24</v>
      </c>
      <c r="H61" s="24">
        <v>210</v>
      </c>
      <c r="I61" s="24">
        <v>1730</v>
      </c>
      <c r="J61" s="20">
        <f t="shared" si="8"/>
        <v>0</v>
      </c>
      <c r="K61" s="20">
        <f t="shared" si="1"/>
        <v>0</v>
      </c>
      <c r="L61" s="20">
        <f t="shared" si="2"/>
        <v>0</v>
      </c>
      <c r="M61" s="2">
        <f t="shared" si="3"/>
        <v>0</v>
      </c>
      <c r="N61" s="2">
        <f t="shared" si="4"/>
        <v>0</v>
      </c>
    </row>
    <row r="62" spans="1:14" ht="0.65" customHeight="1" x14ac:dyDescent="0.5">
      <c r="A62" s="35">
        <v>6291100850044</v>
      </c>
      <c r="B62" s="24" t="s">
        <v>46</v>
      </c>
      <c r="C62" s="24" t="s">
        <v>44</v>
      </c>
      <c r="D62" s="24" t="s">
        <v>44</v>
      </c>
      <c r="E62" s="24"/>
      <c r="F62" s="13"/>
      <c r="G62" s="24">
        <v>24</v>
      </c>
      <c r="H62" s="24">
        <v>105</v>
      </c>
      <c r="I62" s="24">
        <v>105</v>
      </c>
      <c r="J62" s="20">
        <f t="shared" si="8"/>
        <v>0</v>
      </c>
      <c r="K62" s="20">
        <f t="shared" si="1"/>
        <v>0</v>
      </c>
      <c r="L62" s="20">
        <f t="shared" si="2"/>
        <v>0</v>
      </c>
      <c r="M62" s="2">
        <f t="shared" si="3"/>
        <v>0</v>
      </c>
      <c r="N62" s="2">
        <f t="shared" si="4"/>
        <v>0</v>
      </c>
    </row>
    <row r="63" spans="1:14" ht="19.25" hidden="1" customHeight="1" x14ac:dyDescent="0.5">
      <c r="A63" s="35">
        <v>6291100850037</v>
      </c>
      <c r="B63" s="24" t="s">
        <v>47</v>
      </c>
      <c r="C63" s="24" t="s">
        <v>48</v>
      </c>
      <c r="D63" s="24" t="s">
        <v>48</v>
      </c>
      <c r="E63" s="24"/>
      <c r="F63" s="13"/>
      <c r="G63" s="24">
        <v>24</v>
      </c>
      <c r="H63" s="24">
        <v>210</v>
      </c>
      <c r="I63" s="24">
        <v>95</v>
      </c>
      <c r="J63" s="20">
        <f t="shared" si="8"/>
        <v>0</v>
      </c>
      <c r="K63" s="20">
        <f t="shared" si="1"/>
        <v>0</v>
      </c>
      <c r="L63" s="20">
        <f t="shared" si="2"/>
        <v>0</v>
      </c>
      <c r="M63" s="2">
        <f t="shared" si="3"/>
        <v>0</v>
      </c>
      <c r="N63" s="2">
        <f t="shared" si="4"/>
        <v>0</v>
      </c>
    </row>
    <row r="64" spans="1:14" ht="21.65" hidden="1" customHeight="1" x14ac:dyDescent="0.5">
      <c r="A64" s="36">
        <v>5760416738088</v>
      </c>
      <c r="B64" s="24" t="s">
        <v>71</v>
      </c>
      <c r="C64" s="24" t="s">
        <v>80</v>
      </c>
      <c r="D64" s="26" t="s">
        <v>72</v>
      </c>
      <c r="E64" s="37"/>
      <c r="F64" s="24"/>
      <c r="G64" s="24">
        <v>24</v>
      </c>
      <c r="H64" s="37"/>
      <c r="I64" s="24">
        <v>580</v>
      </c>
      <c r="J64" s="20">
        <f t="shared" si="8"/>
        <v>0</v>
      </c>
      <c r="K64" s="20">
        <f t="shared" si="1"/>
        <v>0</v>
      </c>
      <c r="L64" s="20">
        <f t="shared" si="2"/>
        <v>0</v>
      </c>
      <c r="M64" s="2"/>
      <c r="N64" s="2"/>
    </row>
    <row r="65" spans="1:14" ht="21" x14ac:dyDescent="0.5">
      <c r="A65" s="8"/>
      <c r="B65" s="8"/>
      <c r="C65" s="8"/>
      <c r="D65" s="8"/>
      <c r="E65" s="8"/>
      <c r="F65" s="34"/>
      <c r="G65" s="8"/>
      <c r="H65" s="8"/>
      <c r="I65" s="8"/>
      <c r="J65" s="27"/>
      <c r="K65" s="27"/>
      <c r="L65" s="27"/>
      <c r="M65" s="2"/>
      <c r="N65" s="2"/>
    </row>
    <row r="66" spans="1:14" s="4" customFormat="1" ht="21" x14ac:dyDescent="0.5">
      <c r="A66" s="8"/>
      <c r="B66" s="8"/>
      <c r="C66" s="28" t="s">
        <v>49</v>
      </c>
      <c r="D66" s="29"/>
      <c r="E66" s="30">
        <f>SUM(E20:E63)</f>
        <v>0</v>
      </c>
      <c r="F66" s="30">
        <f>SUM(F57:F64)</f>
        <v>94</v>
      </c>
      <c r="G66" s="29"/>
      <c r="H66" s="29"/>
      <c r="I66" s="29"/>
      <c r="J66" s="31">
        <f>SUM(J57:J64)</f>
        <v>69822.03389830509</v>
      </c>
      <c r="K66" s="31">
        <f>SUM(K57:K64)</f>
        <v>12567.966101694916</v>
      </c>
      <c r="L66" s="31">
        <f>SUM(L57:L64)</f>
        <v>82390</v>
      </c>
      <c r="M66" s="3">
        <f>SUM(M20:M63)</f>
        <v>82390</v>
      </c>
      <c r="N66" s="3">
        <f>SUM(N20:N63)</f>
        <v>0</v>
      </c>
    </row>
    <row r="67" spans="1:14" s="4" customFormat="1" ht="21" x14ac:dyDescent="0.5">
      <c r="A67" s="8"/>
      <c r="B67" s="8"/>
      <c r="C67" s="8" t="s">
        <v>62</v>
      </c>
      <c r="D67" s="8"/>
      <c r="E67" s="8"/>
      <c r="F67" s="8"/>
      <c r="G67" s="8"/>
      <c r="H67" s="8"/>
      <c r="I67" s="8"/>
      <c r="J67" s="8"/>
      <c r="K67" s="8"/>
      <c r="L67" s="27">
        <f>J66</f>
        <v>69822.03389830509</v>
      </c>
    </row>
    <row r="68" spans="1:14" s="4" customFormat="1" ht="21" x14ac:dyDescent="0.5">
      <c r="A68" s="8"/>
      <c r="B68" s="8"/>
      <c r="C68" s="8" t="s">
        <v>63</v>
      </c>
      <c r="D68" s="8"/>
      <c r="E68" s="8"/>
      <c r="F68" s="8"/>
      <c r="G68" s="8"/>
      <c r="H68" s="8"/>
      <c r="I68" s="8"/>
      <c r="J68" s="8"/>
      <c r="K68" s="8"/>
      <c r="L68" s="27">
        <f>K66</f>
        <v>12567.966101694916</v>
      </c>
    </row>
    <row r="69" spans="1:14" s="4" customFormat="1" ht="21" x14ac:dyDescent="0.5">
      <c r="A69" s="8"/>
      <c r="B69" s="8"/>
      <c r="C69" s="8" t="s">
        <v>64</v>
      </c>
      <c r="D69" s="8"/>
      <c r="E69" s="8"/>
      <c r="F69" s="8"/>
      <c r="G69" s="8"/>
      <c r="H69" s="8"/>
      <c r="I69" s="8"/>
      <c r="J69" s="8"/>
      <c r="K69" s="8"/>
      <c r="L69" s="32">
        <f>L67+L68</f>
        <v>82390</v>
      </c>
    </row>
    <row r="70" spans="1:14" s="4" customFormat="1" ht="15.5" x14ac:dyDescent="0.35">
      <c r="C70" s="4" t="s">
        <v>65</v>
      </c>
      <c r="L70" s="4">
        <f>L69*0.5%</f>
        <v>411.95</v>
      </c>
    </row>
    <row r="71" spans="1:14" s="4" customFormat="1" ht="15.5" x14ac:dyDescent="0.35">
      <c r="C71" s="5" t="s">
        <v>50</v>
      </c>
      <c r="D71" s="6"/>
      <c r="E71" s="6"/>
      <c r="F71" s="6"/>
      <c r="G71" s="6"/>
      <c r="H71" s="6"/>
      <c r="I71" s="6"/>
      <c r="J71" s="6"/>
      <c r="K71" s="6"/>
      <c r="L71" s="7">
        <f>L69+L70</f>
        <v>82801.95</v>
      </c>
    </row>
  </sheetData>
  <mergeCells count="19">
    <mergeCell ref="B1:D1"/>
    <mergeCell ref="A18:G18"/>
    <mergeCell ref="H18:H19"/>
    <mergeCell ref="H38:H39"/>
    <mergeCell ref="B39:B40"/>
    <mergeCell ref="C39:C40"/>
    <mergeCell ref="D39:D40"/>
    <mergeCell ref="G39:G40"/>
    <mergeCell ref="I45:I46"/>
    <mergeCell ref="I39:I40"/>
    <mergeCell ref="H42:H43"/>
    <mergeCell ref="C43:C44"/>
    <mergeCell ref="D43:D44"/>
    <mergeCell ref="G43:G44"/>
    <mergeCell ref="I43:I44"/>
    <mergeCell ref="H44:H45"/>
    <mergeCell ref="C45:C46"/>
    <mergeCell ref="D45:D46"/>
    <mergeCell ref="G45:G46"/>
  </mergeCells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</dc:creator>
  <cp:lastModifiedBy>Gallop Traders</cp:lastModifiedBy>
  <cp:lastPrinted>2025-10-27T14:00:42Z</cp:lastPrinted>
  <dcterms:created xsi:type="dcterms:W3CDTF">2024-06-29T08:56:51Z</dcterms:created>
  <dcterms:modified xsi:type="dcterms:W3CDTF">2025-10-29T14:20:00Z</dcterms:modified>
</cp:coreProperties>
</file>